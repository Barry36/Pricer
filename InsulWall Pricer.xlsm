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defaultThemeVersion="124226"/>
  <mc:AlternateContent xmlns:mc="http://schemas.openxmlformats.org/markup-compatibility/2006">
    <mc:Choice Requires="x15">
      <x15ac:absPath xmlns:x15ac="http://schemas.microsoft.com/office/spreadsheetml/2010/11/ac" url="C:\Users\User\Desktop\InsulWall Pricer\"/>
    </mc:Choice>
  </mc:AlternateContent>
  <bookViews>
    <workbookView xWindow="0" yWindow="90" windowWidth="19155" windowHeight="12330" firstSheet="1" activeTab="1"/>
  </bookViews>
  <sheets>
    <sheet name="Reference" sheetId="1" state="hidden" r:id="rId1"/>
    <sheet name="Data" sheetId="2" r:id="rId2"/>
    <sheet name="Fixed Curtain Rep Copy" sheetId="4" r:id="rId3"/>
    <sheet name="Printable Version" sheetId="5" r:id="rId4"/>
    <sheet name="Drop Down" sheetId="3" state="hidden" r:id="rId5"/>
  </sheets>
  <functionGroups builtInGroupCount="18"/>
  <definedNames>
    <definedName name="_xlnm.Print_Area" localSheetId="3">'Printable Version'!$A$1:$G$118</definedName>
    <definedName name="_xlnm.Print_Area" localSheetId="0">Reference!$A$1:$I$47</definedName>
  </definedNames>
  <calcPr calcId="171027"/>
</workbook>
</file>

<file path=xl/calcChain.xml><?xml version="1.0" encoding="utf-8"?>
<calcChain xmlns="http://schemas.openxmlformats.org/spreadsheetml/2006/main">
  <c r="F62" i="2" l="1"/>
  <c r="F61" i="2"/>
  <c r="F48" i="2"/>
  <c r="F47" i="2"/>
  <c r="F34" i="2"/>
  <c r="F33" i="2"/>
  <c r="F20" i="2"/>
  <c r="F19" i="2"/>
  <c r="F6" i="2"/>
  <c r="B31" i="5" l="1"/>
  <c r="F5" i="2" l="1"/>
  <c r="D5" i="2" l="1"/>
  <c r="C15" i="2" s="1"/>
  <c r="C28" i="5" s="1"/>
  <c r="D19" i="2"/>
  <c r="C29" i="2" s="1"/>
  <c r="C43" i="5" s="1"/>
  <c r="D33" i="2"/>
  <c r="C43" i="2" s="1"/>
  <c r="C58" i="5" s="1"/>
  <c r="D47" i="2"/>
  <c r="C57" i="2" s="1"/>
  <c r="C73" i="5" s="1"/>
  <c r="D61" i="2"/>
  <c r="C71" i="2" s="1"/>
  <c r="C88" i="5" s="1"/>
  <c r="Z19" i="2"/>
  <c r="K70" i="2"/>
  <c r="J70" i="2"/>
  <c r="G87" i="5" s="1"/>
  <c r="F69" i="2"/>
  <c r="G69" i="2" s="1"/>
  <c r="F68" i="2"/>
  <c r="G68" i="2" s="1"/>
  <c r="K67" i="2"/>
  <c r="J67" i="2"/>
  <c r="G84" i="5" s="1"/>
  <c r="K65" i="2"/>
  <c r="J65" i="2"/>
  <c r="G82" i="5" s="1"/>
  <c r="K64" i="2"/>
  <c r="J64" i="2"/>
  <c r="G62" i="2"/>
  <c r="D62" i="2"/>
  <c r="G61" i="2"/>
  <c r="K56" i="2"/>
  <c r="J56" i="2"/>
  <c r="G72" i="5" s="1"/>
  <c r="F55" i="2"/>
  <c r="G55" i="2" s="1"/>
  <c r="H55" i="2" s="1"/>
  <c r="F71" i="5" s="1"/>
  <c r="F54" i="2"/>
  <c r="G54" i="2" s="1"/>
  <c r="K53" i="2"/>
  <c r="J53" i="2"/>
  <c r="G69" i="5" s="1"/>
  <c r="K51" i="2"/>
  <c r="J51" i="2"/>
  <c r="G67" i="5" s="1"/>
  <c r="K50" i="2"/>
  <c r="J50" i="2"/>
  <c r="G66" i="5" s="1"/>
  <c r="G48" i="2"/>
  <c r="D48" i="2"/>
  <c r="G47" i="2"/>
  <c r="K42" i="2"/>
  <c r="J42" i="2"/>
  <c r="G57" i="5" s="1"/>
  <c r="F41" i="2"/>
  <c r="G41" i="2" s="1"/>
  <c r="F40" i="2"/>
  <c r="G40" i="2" s="1"/>
  <c r="K39" i="2"/>
  <c r="J39" i="2"/>
  <c r="G54" i="5" s="1"/>
  <c r="K37" i="2"/>
  <c r="J37" i="2"/>
  <c r="G52" i="5" s="1"/>
  <c r="K36" i="2"/>
  <c r="J36" i="2"/>
  <c r="G51" i="5" s="1"/>
  <c r="G34" i="2"/>
  <c r="D34" i="2"/>
  <c r="G33" i="2"/>
  <c r="K28" i="2"/>
  <c r="J28" i="2"/>
  <c r="G42" i="5" s="1"/>
  <c r="F27" i="2"/>
  <c r="G27" i="2" s="1"/>
  <c r="H27" i="2" s="1"/>
  <c r="F41" i="5" s="1"/>
  <c r="F26" i="2"/>
  <c r="G26" i="2" s="1"/>
  <c r="K25" i="2"/>
  <c r="J25" i="2"/>
  <c r="G39" i="5" s="1"/>
  <c r="K23" i="2"/>
  <c r="J23" i="2"/>
  <c r="G37" i="5" s="1"/>
  <c r="K22" i="2"/>
  <c r="J22" i="2"/>
  <c r="G36" i="5" s="1"/>
  <c r="G20" i="2"/>
  <c r="D20" i="2"/>
  <c r="D34" i="5" s="1"/>
  <c r="G19" i="2"/>
  <c r="F13" i="2"/>
  <c r="G13" i="2" s="1"/>
  <c r="F12" i="2"/>
  <c r="G12" i="2" s="1"/>
  <c r="G5" i="2"/>
  <c r="D6" i="2"/>
  <c r="D19" i="5" s="1"/>
  <c r="J8" i="2"/>
  <c r="G21" i="5" s="1"/>
  <c r="J9" i="2"/>
  <c r="G22" i="5" s="1"/>
  <c r="J11" i="2"/>
  <c r="G24" i="5" s="1"/>
  <c r="J14" i="2"/>
  <c r="G27" i="5" s="1"/>
  <c r="T5" i="2"/>
  <c r="U5" i="2" s="1"/>
  <c r="T6" i="2"/>
  <c r="U6" i="2" s="1"/>
  <c r="T8" i="2"/>
  <c r="U8" i="2" s="1"/>
  <c r="T7" i="2"/>
  <c r="U7" i="2" s="1"/>
  <c r="T57" i="2"/>
  <c r="D97" i="5" s="1"/>
  <c r="AD24" i="2"/>
  <c r="F113" i="5" s="1"/>
  <c r="AD25" i="2"/>
  <c r="F114" i="5" s="1"/>
  <c r="AD26" i="2"/>
  <c r="F115" i="5" s="1"/>
  <c r="AD28" i="2"/>
  <c r="F117" i="5" s="1"/>
  <c r="S38" i="2"/>
  <c r="S39" i="2"/>
  <c r="S40" i="2"/>
  <c r="T40" i="2" s="1"/>
  <c r="S41" i="2"/>
  <c r="S42" i="2"/>
  <c r="S43" i="2"/>
  <c r="S44" i="2"/>
  <c r="S45" i="2"/>
  <c r="S46" i="2"/>
  <c r="S47" i="2"/>
  <c r="S48" i="2"/>
  <c r="T48" i="2" s="1"/>
  <c r="S49" i="2"/>
  <c r="S21" i="2"/>
  <c r="S22" i="2"/>
  <c r="S23" i="2"/>
  <c r="T23" i="2" s="1"/>
  <c r="S24" i="2"/>
  <c r="S25" i="2"/>
  <c r="S26" i="2"/>
  <c r="T26" i="2" s="1"/>
  <c r="S27" i="2"/>
  <c r="S28" i="2"/>
  <c r="S29" i="2"/>
  <c r="S30" i="2"/>
  <c r="S31" i="2"/>
  <c r="S32" i="2"/>
  <c r="T32" i="2" s="1"/>
  <c r="S37" i="2"/>
  <c r="S20" i="2"/>
  <c r="R38" i="2"/>
  <c r="R39" i="2"/>
  <c r="T39" i="2" s="1"/>
  <c r="R40" i="2"/>
  <c r="R41" i="2"/>
  <c r="R42" i="2"/>
  <c r="R43" i="2"/>
  <c r="R44" i="2"/>
  <c r="R45" i="2"/>
  <c r="R46" i="2"/>
  <c r="R47" i="2"/>
  <c r="T47" i="2" s="1"/>
  <c r="R48" i="2"/>
  <c r="R49" i="2"/>
  <c r="R37" i="2"/>
  <c r="T37" i="2" s="1"/>
  <c r="R21" i="2"/>
  <c r="T21" i="2" s="1"/>
  <c r="R22" i="2"/>
  <c r="R23" i="2"/>
  <c r="R24" i="2"/>
  <c r="R25" i="2"/>
  <c r="T25" i="2" s="1"/>
  <c r="R26" i="2"/>
  <c r="R27" i="2"/>
  <c r="R28" i="2"/>
  <c r="R29" i="2"/>
  <c r="R30" i="2"/>
  <c r="R31" i="2"/>
  <c r="R32" i="2"/>
  <c r="R20" i="2"/>
  <c r="T20" i="2" s="1"/>
  <c r="Y4" i="2"/>
  <c r="B3" i="5" s="1"/>
  <c r="Y5" i="2"/>
  <c r="B4" i="5" s="1"/>
  <c r="Y6" i="2"/>
  <c r="B5" i="5" s="1"/>
  <c r="Y7" i="2"/>
  <c r="B6" i="5" s="1"/>
  <c r="Y8" i="2"/>
  <c r="B7" i="5" s="1"/>
  <c r="Z25" i="2"/>
  <c r="AC25" i="2" s="1"/>
  <c r="C2" i="1"/>
  <c r="D2" i="1" s="1"/>
  <c r="G2" i="1" s="1"/>
  <c r="H2" i="1" s="1"/>
  <c r="S5" i="2"/>
  <c r="S6" i="2"/>
  <c r="S7" i="2"/>
  <c r="S8" i="2"/>
  <c r="Y15" i="2"/>
  <c r="B14" i="5"/>
  <c r="B109" i="5"/>
  <c r="C109" i="5"/>
  <c r="E109" i="5"/>
  <c r="B110" i="5"/>
  <c r="C110" i="5"/>
  <c r="E110" i="5"/>
  <c r="B111" i="5"/>
  <c r="C111" i="5"/>
  <c r="E111" i="5"/>
  <c r="B112" i="5"/>
  <c r="C112" i="5"/>
  <c r="E112" i="5"/>
  <c r="B113" i="5"/>
  <c r="C113" i="5"/>
  <c r="D113" i="5"/>
  <c r="E113" i="5"/>
  <c r="B114" i="5"/>
  <c r="C114" i="5"/>
  <c r="D114" i="5"/>
  <c r="E114" i="5"/>
  <c r="B115" i="5"/>
  <c r="C115" i="5"/>
  <c r="D115" i="5"/>
  <c r="E115" i="5"/>
  <c r="B116" i="5"/>
  <c r="C116" i="5"/>
  <c r="E116" i="5"/>
  <c r="B117" i="5"/>
  <c r="C117" i="5"/>
  <c r="D117" i="5"/>
  <c r="E117" i="5"/>
  <c r="E108" i="5"/>
  <c r="B108" i="5"/>
  <c r="C97" i="5"/>
  <c r="C93" i="5"/>
  <c r="B94" i="5"/>
  <c r="B95" i="5"/>
  <c r="B96" i="5"/>
  <c r="B97" i="5"/>
  <c r="B98" i="5"/>
  <c r="B99" i="5"/>
  <c r="B93" i="5"/>
  <c r="B16" i="5"/>
  <c r="B18" i="5"/>
  <c r="B19" i="5"/>
  <c r="B21" i="5"/>
  <c r="B22" i="5"/>
  <c r="B23" i="5"/>
  <c r="B24" i="5"/>
  <c r="B25" i="5"/>
  <c r="B26" i="5"/>
  <c r="F87" i="5"/>
  <c r="D87" i="5"/>
  <c r="C87" i="5"/>
  <c r="B87" i="5"/>
  <c r="D86" i="5"/>
  <c r="C86" i="5"/>
  <c r="B86" i="5"/>
  <c r="D85" i="5"/>
  <c r="C85" i="5"/>
  <c r="B85" i="5"/>
  <c r="F84" i="5"/>
  <c r="D84" i="5"/>
  <c r="C84" i="5"/>
  <c r="B84" i="5"/>
  <c r="D83" i="5"/>
  <c r="C83" i="5"/>
  <c r="B83" i="5"/>
  <c r="F82" i="5"/>
  <c r="D82" i="5"/>
  <c r="C82" i="5"/>
  <c r="B82" i="5"/>
  <c r="G81" i="5"/>
  <c r="F81" i="5"/>
  <c r="D81" i="5"/>
  <c r="C81" i="5"/>
  <c r="B81" i="5"/>
  <c r="D79" i="5"/>
  <c r="C79" i="5"/>
  <c r="B79" i="5"/>
  <c r="D78" i="5"/>
  <c r="C78" i="5"/>
  <c r="B78" i="5"/>
  <c r="B76" i="5"/>
  <c r="F72" i="5"/>
  <c r="D72" i="5"/>
  <c r="C72" i="5"/>
  <c r="B72" i="5"/>
  <c r="D71" i="5"/>
  <c r="C71" i="5"/>
  <c r="B71" i="5"/>
  <c r="D70" i="5"/>
  <c r="C70" i="5"/>
  <c r="B70" i="5"/>
  <c r="F69" i="5"/>
  <c r="D69" i="5"/>
  <c r="C69" i="5"/>
  <c r="B69" i="5"/>
  <c r="D68" i="5"/>
  <c r="C68" i="5"/>
  <c r="B68" i="5"/>
  <c r="F67" i="5"/>
  <c r="D67" i="5"/>
  <c r="C67" i="5"/>
  <c r="B67" i="5"/>
  <c r="F66" i="5"/>
  <c r="D66" i="5"/>
  <c r="C66" i="5"/>
  <c r="B66" i="5"/>
  <c r="D64" i="5"/>
  <c r="C64" i="5"/>
  <c r="B64" i="5"/>
  <c r="D63" i="5"/>
  <c r="C63" i="5"/>
  <c r="B63" i="5"/>
  <c r="B61" i="5"/>
  <c r="F57" i="5"/>
  <c r="D57" i="5"/>
  <c r="C57" i="5"/>
  <c r="B57" i="5"/>
  <c r="D56" i="5"/>
  <c r="C56" i="5"/>
  <c r="B56" i="5"/>
  <c r="D55" i="5"/>
  <c r="C55" i="5"/>
  <c r="B55" i="5"/>
  <c r="F54" i="5"/>
  <c r="D54" i="5"/>
  <c r="C54" i="5"/>
  <c r="B54" i="5"/>
  <c r="D53" i="5"/>
  <c r="C53" i="5"/>
  <c r="B53" i="5"/>
  <c r="F52" i="5"/>
  <c r="D52" i="5"/>
  <c r="C52" i="5"/>
  <c r="B52" i="5"/>
  <c r="F51" i="5"/>
  <c r="D51" i="5"/>
  <c r="C51" i="5"/>
  <c r="B51" i="5"/>
  <c r="D49" i="5"/>
  <c r="C49" i="5"/>
  <c r="B49" i="5"/>
  <c r="D48" i="5"/>
  <c r="C48" i="5"/>
  <c r="B48" i="5"/>
  <c r="B46" i="5"/>
  <c r="F37" i="5"/>
  <c r="F39" i="5"/>
  <c r="F42" i="5"/>
  <c r="F36" i="5"/>
  <c r="B37" i="5"/>
  <c r="C37" i="5"/>
  <c r="D37" i="5"/>
  <c r="B38" i="5"/>
  <c r="C38" i="5"/>
  <c r="D38" i="5"/>
  <c r="B39" i="5"/>
  <c r="C39" i="5"/>
  <c r="D39" i="5"/>
  <c r="B40" i="5"/>
  <c r="C40" i="5"/>
  <c r="D40" i="5"/>
  <c r="B41" i="5"/>
  <c r="C41" i="5"/>
  <c r="D41" i="5"/>
  <c r="B42" i="5"/>
  <c r="C42" i="5"/>
  <c r="D42" i="5"/>
  <c r="D36" i="5"/>
  <c r="C36" i="5"/>
  <c r="B36" i="5"/>
  <c r="B34" i="5"/>
  <c r="C34" i="5"/>
  <c r="C33" i="5"/>
  <c r="B33" i="5"/>
  <c r="F22" i="5"/>
  <c r="F24" i="5"/>
  <c r="F27" i="5"/>
  <c r="C22" i="5"/>
  <c r="D22" i="5"/>
  <c r="C23" i="5"/>
  <c r="D23" i="5"/>
  <c r="C24" i="5"/>
  <c r="D24" i="5"/>
  <c r="C25" i="5"/>
  <c r="D25" i="5"/>
  <c r="C26" i="5"/>
  <c r="D26" i="5"/>
  <c r="B27" i="5"/>
  <c r="C27" i="5"/>
  <c r="D27" i="5"/>
  <c r="F21" i="5"/>
  <c r="D21" i="5"/>
  <c r="C21" i="5"/>
  <c r="C19" i="5"/>
  <c r="D18" i="5"/>
  <c r="C18" i="5"/>
  <c r="T49" i="2"/>
  <c r="T46" i="2"/>
  <c r="T44" i="2"/>
  <c r="T42" i="2"/>
  <c r="T41" i="2"/>
  <c r="T38" i="2"/>
  <c r="T31" i="2"/>
  <c r="T30" i="2"/>
  <c r="T29" i="2"/>
  <c r="T28" i="2"/>
  <c r="T27" i="2"/>
  <c r="T22" i="2"/>
  <c r="C4" i="1"/>
  <c r="Q54" i="2"/>
  <c r="Q55" i="2"/>
  <c r="R55" i="2" s="1"/>
  <c r="C95" i="5" s="1"/>
  <c r="Q56" i="2"/>
  <c r="Q58" i="2"/>
  <c r="R58" i="2" s="1"/>
  <c r="Q59" i="2"/>
  <c r="Z20" i="2"/>
  <c r="Z21" i="2"/>
  <c r="Z22" i="2"/>
  <c r="AA22" i="2" s="1"/>
  <c r="D111" i="5" s="1"/>
  <c r="Z23" i="2"/>
  <c r="AA23" i="2" s="1"/>
  <c r="D112" i="5" s="1"/>
  <c r="Z27" i="2"/>
  <c r="Q53" i="2"/>
  <c r="K14" i="2"/>
  <c r="K9" i="2"/>
  <c r="K8" i="2"/>
  <c r="K11" i="2"/>
  <c r="AE28" i="2"/>
  <c r="AE26" i="2"/>
  <c r="AE24" i="2"/>
  <c r="U57" i="2"/>
  <c r="F2" i="1"/>
  <c r="AE25" i="2"/>
  <c r="AE20" i="2"/>
  <c r="G21" i="1"/>
  <c r="H21" i="1" s="1"/>
  <c r="AE27" i="2"/>
  <c r="AE21" i="2"/>
  <c r="AE22" i="2"/>
  <c r="AE23" i="2"/>
  <c r="U56" i="2"/>
  <c r="U55" i="2"/>
  <c r="U54" i="2"/>
  <c r="U53" i="2"/>
  <c r="B4" i="1"/>
  <c r="B5" i="1"/>
  <c r="G42" i="1"/>
  <c r="H42" i="1"/>
  <c r="G40" i="1"/>
  <c r="H40" i="1" s="1"/>
  <c r="G41" i="1"/>
  <c r="H41" i="1"/>
  <c r="G36" i="1"/>
  <c r="H36" i="1" s="1"/>
  <c r="G37" i="1"/>
  <c r="H37" i="1"/>
  <c r="G38" i="1"/>
  <c r="H38" i="1" s="1"/>
  <c r="G39" i="1"/>
  <c r="H39" i="1"/>
  <c r="G43" i="1"/>
  <c r="H43" i="1" s="1"/>
  <c r="G44" i="1"/>
  <c r="H44" i="1"/>
  <c r="G20" i="1"/>
  <c r="H20" i="1" s="1"/>
  <c r="G16" i="1"/>
  <c r="H16" i="1" s="1"/>
  <c r="G17" i="1"/>
  <c r="H17" i="1" s="1"/>
  <c r="G18" i="1"/>
  <c r="H18" i="1" s="1"/>
  <c r="G19" i="1"/>
  <c r="H19" i="1" s="1"/>
  <c r="G15" i="1"/>
  <c r="H15" i="1"/>
  <c r="F32" i="4"/>
  <c r="F31" i="4"/>
  <c r="F30" i="4"/>
  <c r="F29" i="4"/>
  <c r="F28" i="4"/>
  <c r="F27" i="4"/>
  <c r="F26" i="4"/>
  <c r="F25" i="4"/>
  <c r="F24" i="4"/>
  <c r="F23" i="4"/>
  <c r="F22" i="4"/>
  <c r="F21" i="4"/>
  <c r="F20" i="4"/>
  <c r="F15" i="4"/>
  <c r="F14" i="4"/>
  <c r="F13" i="4"/>
  <c r="F12" i="4"/>
  <c r="F11" i="4"/>
  <c r="F10" i="4"/>
  <c r="F9" i="4"/>
  <c r="F8" i="4"/>
  <c r="F7" i="4"/>
  <c r="F6" i="4"/>
  <c r="F5" i="4"/>
  <c r="F4" i="4"/>
  <c r="F3" i="4"/>
  <c r="G31" i="1"/>
  <c r="H31" i="1"/>
  <c r="G32" i="1"/>
  <c r="H32" i="1" s="1"/>
  <c r="G24" i="1"/>
  <c r="H24" i="1"/>
  <c r="G25" i="1"/>
  <c r="H25" i="1" s="1"/>
  <c r="G26" i="1"/>
  <c r="H26" i="1"/>
  <c r="G27" i="1"/>
  <c r="H27" i="1" s="1"/>
  <c r="G28" i="1"/>
  <c r="H28" i="1"/>
  <c r="G47" i="1"/>
  <c r="H47" i="1" s="1"/>
  <c r="G46" i="1"/>
  <c r="H46" i="1" s="1"/>
  <c r="G33" i="1"/>
  <c r="H33" i="1" s="1"/>
  <c r="AC27" i="2" l="1"/>
  <c r="AD27" i="2" s="1"/>
  <c r="F116" i="5" s="1"/>
  <c r="AC20" i="2"/>
  <c r="AD20" i="2" s="1"/>
  <c r="F109" i="5" s="1"/>
  <c r="C5" i="1"/>
  <c r="C3" i="1"/>
  <c r="D3" i="1" s="1"/>
  <c r="G3" i="1" s="1"/>
  <c r="H3" i="1" s="1"/>
  <c r="AA27" i="2"/>
  <c r="D116" i="5" s="1"/>
  <c r="I47" i="2"/>
  <c r="J47" i="2" s="1"/>
  <c r="K47" i="2" s="1"/>
  <c r="S53" i="2"/>
  <c r="T53" i="2" s="1"/>
  <c r="D93" i="5" s="1"/>
  <c r="AC21" i="2"/>
  <c r="AD21" i="2" s="1"/>
  <c r="F110" i="5" s="1"/>
  <c r="S56" i="2"/>
  <c r="T56" i="2" s="1"/>
  <c r="D96" i="5" s="1"/>
  <c r="I41" i="2"/>
  <c r="J41" i="2" s="1"/>
  <c r="G56" i="5" s="1"/>
  <c r="I54" i="2"/>
  <c r="J54" i="2" s="1"/>
  <c r="K54" i="2" s="1"/>
  <c r="S55" i="2"/>
  <c r="T55" i="2" s="1"/>
  <c r="D95" i="5" s="1"/>
  <c r="I13" i="2"/>
  <c r="J13" i="2" s="1"/>
  <c r="G26" i="5" s="1"/>
  <c r="I26" i="2"/>
  <c r="J26" i="2" s="1"/>
  <c r="K26" i="2" s="1"/>
  <c r="AC19" i="2"/>
  <c r="S59" i="2"/>
  <c r="T59" i="2" s="1"/>
  <c r="D99" i="5" s="1"/>
  <c r="S54" i="2"/>
  <c r="T54" i="2" s="1"/>
  <c r="D94" i="5" s="1"/>
  <c r="D5" i="1"/>
  <c r="G5" i="1" s="1"/>
  <c r="H5" i="1" s="1"/>
  <c r="C6" i="1"/>
  <c r="C7" i="1"/>
  <c r="C8" i="1"/>
  <c r="I12" i="2"/>
  <c r="J12" i="2" s="1"/>
  <c r="G25" i="5" s="1"/>
  <c r="I69" i="2"/>
  <c r="J69" i="2" s="1"/>
  <c r="K69" i="2" s="1"/>
  <c r="I68" i="2"/>
  <c r="J68" i="2" s="1"/>
  <c r="K68" i="2" s="1"/>
  <c r="H68" i="2"/>
  <c r="F85" i="5" s="1"/>
  <c r="S58" i="2"/>
  <c r="T58" i="2" s="1"/>
  <c r="D98" i="5" s="1"/>
  <c r="D4" i="1"/>
  <c r="G4" i="1" s="1"/>
  <c r="H4" i="1" s="1"/>
  <c r="D7" i="1"/>
  <c r="G7" i="1" s="1"/>
  <c r="H7" i="1" s="1"/>
  <c r="D6" i="1"/>
  <c r="G6" i="1" s="1"/>
  <c r="H6" i="1" s="1"/>
  <c r="H40" i="2"/>
  <c r="F55" i="5" s="1"/>
  <c r="I40" i="2"/>
  <c r="J40" i="2" s="1"/>
  <c r="K40" i="2" s="1"/>
  <c r="AC23" i="2"/>
  <c r="AD23" i="2" s="1"/>
  <c r="F112" i="5" s="1"/>
  <c r="R56" i="2"/>
  <c r="C96" i="5" s="1"/>
  <c r="AA21" i="2"/>
  <c r="D110" i="5" s="1"/>
  <c r="AC22" i="2"/>
  <c r="AD22" i="2" s="1"/>
  <c r="F111" i="5" s="1"/>
  <c r="AA20" i="2"/>
  <c r="D109" i="5" s="1"/>
  <c r="R59" i="2"/>
  <c r="U59" i="2" s="1"/>
  <c r="R54" i="2"/>
  <c r="C94" i="5" s="1"/>
  <c r="D33" i="5"/>
  <c r="H41" i="2"/>
  <c r="F56" i="5" s="1"/>
  <c r="T45" i="2"/>
  <c r="T43" i="2"/>
  <c r="T24" i="2"/>
  <c r="H69" i="2"/>
  <c r="F86" i="5" s="1"/>
  <c r="H54" i="2"/>
  <c r="F70" i="5" s="1"/>
  <c r="H33" i="2"/>
  <c r="F48" i="5" s="1"/>
  <c r="I20" i="2"/>
  <c r="J20" i="2" s="1"/>
  <c r="G34" i="5" s="1"/>
  <c r="H20" i="2"/>
  <c r="F34" i="5" s="1"/>
  <c r="I19" i="2"/>
  <c r="J19" i="2" s="1"/>
  <c r="G33" i="5" s="1"/>
  <c r="H19" i="2"/>
  <c r="F33" i="5" s="1"/>
  <c r="I61" i="2"/>
  <c r="J61" i="2" s="1"/>
  <c r="K61" i="2" s="1"/>
  <c r="H61" i="2"/>
  <c r="F78" i="5" s="1"/>
  <c r="I48" i="2"/>
  <c r="J48" i="2" s="1"/>
  <c r="K48" i="2" s="1"/>
  <c r="H48" i="2"/>
  <c r="F64" i="5" s="1"/>
  <c r="G70" i="5"/>
  <c r="H26" i="2"/>
  <c r="F40" i="5" s="1"/>
  <c r="H47" i="2"/>
  <c r="F63" i="5" s="1"/>
  <c r="I62" i="2"/>
  <c r="J62" i="2" s="1"/>
  <c r="H62" i="2"/>
  <c r="F79" i="5" s="1"/>
  <c r="I34" i="2"/>
  <c r="J34" i="2" s="1"/>
  <c r="H34" i="2"/>
  <c r="F49" i="5" s="1"/>
  <c r="G86" i="5"/>
  <c r="I27" i="2"/>
  <c r="J27" i="2" s="1"/>
  <c r="I33" i="2"/>
  <c r="J33" i="2" s="1"/>
  <c r="I55" i="2"/>
  <c r="J55" i="2" s="1"/>
  <c r="U58" i="2"/>
  <c r="C98" i="5"/>
  <c r="H12" i="2"/>
  <c r="F25" i="5" s="1"/>
  <c r="Y19" i="2"/>
  <c r="AE19" i="2" s="1"/>
  <c r="H5" i="2"/>
  <c r="I5" i="2"/>
  <c r="J5" i="2" s="1"/>
  <c r="H13" i="2"/>
  <c r="F26" i="5" s="1"/>
  <c r="G40" i="5" l="1"/>
  <c r="G63" i="5"/>
  <c r="K12" i="2"/>
  <c r="K41" i="2"/>
  <c r="P60" i="2"/>
  <c r="C10" i="1"/>
  <c r="D10" i="1" s="1"/>
  <c r="G10" i="1" s="1"/>
  <c r="H10" i="1" s="1"/>
  <c r="C11" i="1"/>
  <c r="C9" i="1"/>
  <c r="D9" i="1" s="1"/>
  <c r="G9" i="1" s="1"/>
  <c r="H9" i="1" s="1"/>
  <c r="G85" i="5"/>
  <c r="C99" i="5"/>
  <c r="D8" i="1"/>
  <c r="G78" i="5"/>
  <c r="S10" i="2"/>
  <c r="K20" i="2"/>
  <c r="G55" i="5"/>
  <c r="K19" i="2"/>
  <c r="K13" i="2"/>
  <c r="G64" i="5"/>
  <c r="K27" i="2"/>
  <c r="G41" i="5"/>
  <c r="K55" i="2"/>
  <c r="G71" i="5"/>
  <c r="G49" i="5"/>
  <c r="K34" i="2"/>
  <c r="T10" i="2"/>
  <c r="U10" i="2" s="1"/>
  <c r="B100" i="5"/>
  <c r="K33" i="2"/>
  <c r="G48" i="5"/>
  <c r="G79" i="5"/>
  <c r="K62" i="2"/>
  <c r="AA19" i="2"/>
  <c r="C108" i="5"/>
  <c r="F18" i="5"/>
  <c r="K5" i="2"/>
  <c r="G18" i="5"/>
  <c r="F52" i="2" l="1"/>
  <c r="G52" i="2" s="1"/>
  <c r="F24" i="2"/>
  <c r="G24" i="2" s="1"/>
  <c r="F66" i="2"/>
  <c r="G66" i="2" s="1"/>
  <c r="G8" i="1"/>
  <c r="H8" i="1" s="1"/>
  <c r="F38" i="2"/>
  <c r="G38" i="2" s="1"/>
  <c r="F10" i="2"/>
  <c r="G10" i="2" s="1"/>
  <c r="C12" i="1"/>
  <c r="D12" i="1" s="1"/>
  <c r="G12" i="1" s="1"/>
  <c r="H12" i="1" s="1"/>
  <c r="D11" i="1"/>
  <c r="AD19" i="2"/>
  <c r="D108" i="5"/>
  <c r="S9" i="2"/>
  <c r="I24" i="2" l="1"/>
  <c r="J24" i="2" s="1"/>
  <c r="H24" i="2"/>
  <c r="F38" i="5" s="1"/>
  <c r="G6" i="2"/>
  <c r="G11" i="1"/>
  <c r="H11" i="1" s="1"/>
  <c r="H66" i="2"/>
  <c r="F83" i="5" s="1"/>
  <c r="I66" i="2"/>
  <c r="J66" i="2" s="1"/>
  <c r="I10" i="2"/>
  <c r="J10" i="2" s="1"/>
  <c r="H10" i="2"/>
  <c r="F23" i="5" s="1"/>
  <c r="H38" i="2"/>
  <c r="F53" i="5" s="1"/>
  <c r="I38" i="2"/>
  <c r="J38" i="2" s="1"/>
  <c r="I52" i="2"/>
  <c r="J52" i="2" s="1"/>
  <c r="H52" i="2"/>
  <c r="F68" i="5" s="1"/>
  <c r="F108" i="5"/>
  <c r="X29" i="2"/>
  <c r="G68" i="5" l="1"/>
  <c r="K52" i="2"/>
  <c r="B57" i="2"/>
  <c r="B73" i="5" s="1"/>
  <c r="K10" i="2"/>
  <c r="G23" i="5"/>
  <c r="I6" i="2"/>
  <c r="J6" i="2" s="1"/>
  <c r="H6" i="2"/>
  <c r="B43" i="2"/>
  <c r="B58" i="5" s="1"/>
  <c r="K38" i="2"/>
  <c r="G53" i="5"/>
  <c r="K66" i="2"/>
  <c r="G83" i="5"/>
  <c r="B71" i="2"/>
  <c r="B88" i="5" s="1"/>
  <c r="B29" i="2"/>
  <c r="B43" i="5" s="1"/>
  <c r="K24" i="2"/>
  <c r="G38" i="5"/>
  <c r="B118" i="5"/>
  <c r="T9" i="2"/>
  <c r="F19" i="5" l="1"/>
  <c r="S4" i="2"/>
  <c r="K6" i="2"/>
  <c r="B15" i="2"/>
  <c r="G19" i="5"/>
  <c r="U9" i="2"/>
  <c r="B28" i="5" l="1"/>
  <c r="T4" i="2"/>
  <c r="S14" i="2"/>
  <c r="S12" i="2"/>
  <c r="U4" i="2" l="1"/>
  <c r="T14" i="2"/>
  <c r="T12" i="2"/>
  <c r="U12" i="2" l="1"/>
  <c r="B9" i="4"/>
  <c r="U14" i="2"/>
  <c r="B12" i="4"/>
  <c r="Y13" i="2" l="1"/>
  <c r="B12" i="5" s="1"/>
  <c r="B11" i="4"/>
  <c r="Y14" i="2" s="1"/>
  <c r="B13" i="5" s="1"/>
  <c r="B8" i="4"/>
  <c r="Y11" i="2" s="1"/>
  <c r="B10" i="5" s="1"/>
  <c r="Y10" i="2"/>
  <c r="B9" i="5" s="1"/>
</calcChain>
</file>

<file path=xl/sharedStrings.xml><?xml version="1.0" encoding="utf-8"?>
<sst xmlns="http://schemas.openxmlformats.org/spreadsheetml/2006/main" count="824" uniqueCount="194">
  <si>
    <t>R-3</t>
  </si>
  <si>
    <t>R-6</t>
  </si>
  <si>
    <t>R-9</t>
  </si>
  <si>
    <t>R-15</t>
  </si>
  <si>
    <t>Angle</t>
  </si>
  <si>
    <t>Cost Update Date</t>
  </si>
  <si>
    <t>Selling Price (CAD)</t>
  </si>
  <si>
    <t>Unit Cost (USD)</t>
  </si>
  <si>
    <t>Unit Cost (CAD)</t>
  </si>
  <si>
    <t>Lift Device</t>
  </si>
  <si>
    <t>Interior Vinyl Curtain Installation</t>
  </si>
  <si>
    <t>Power Roll-up Installation</t>
  </si>
  <si>
    <t>Power Roll-up Frame Installation</t>
  </si>
  <si>
    <t>Regular Door and Frame Installation</t>
  </si>
  <si>
    <t>Electrical Intallation</t>
  </si>
  <si>
    <t>-</t>
  </si>
  <si>
    <t>Material Cost</t>
  </si>
  <si>
    <t>Labor Cost</t>
  </si>
  <si>
    <t>Freight Cost</t>
  </si>
  <si>
    <t>Randall</t>
  </si>
  <si>
    <t>Goff's</t>
  </si>
  <si>
    <t>Kitchener</t>
  </si>
  <si>
    <t>Other</t>
  </si>
  <si>
    <t>Peter Onsite Design</t>
  </si>
  <si>
    <t>Post-installation Adjustment</t>
  </si>
  <si>
    <t>Profit (CAD)</t>
  </si>
  <si>
    <t>1 USD = CAD</t>
  </si>
  <si>
    <t>Wall A</t>
  </si>
  <si>
    <t>Dimensions</t>
  </si>
  <si>
    <t>Width (ft)</t>
  </si>
  <si>
    <t>Height (ft)</t>
  </si>
  <si>
    <t>Quantity</t>
  </si>
  <si>
    <t>Unit</t>
  </si>
  <si>
    <t>Unit Material Cost</t>
  </si>
  <si>
    <t>Total Unit Cost</t>
  </si>
  <si>
    <t>Total Cost</t>
  </si>
  <si>
    <t>Total Price</t>
  </si>
  <si>
    <t>Gross Margin</t>
  </si>
  <si>
    <t>Note</t>
  </si>
  <si>
    <t>Valance</t>
  </si>
  <si>
    <t>Wall</t>
  </si>
  <si>
    <t>Angle Length</t>
  </si>
  <si>
    <t>Access Cut Outs</t>
  </si>
  <si>
    <t>Velcro</t>
  </si>
  <si>
    <t>ft²</t>
  </si>
  <si>
    <t>ft</t>
  </si>
  <si>
    <t>Contingency (Misc., hangers, threaded rod, etc)</t>
  </si>
  <si>
    <t>N/A</t>
  </si>
  <si>
    <t>Unit Price</t>
  </si>
  <si>
    <t>Customer Information</t>
  </si>
  <si>
    <t>Commision Rate Chart</t>
  </si>
  <si>
    <t>Rep's  benefit</t>
  </si>
  <si>
    <t>Company:</t>
  </si>
  <si>
    <t>The Price You offer:</t>
  </si>
  <si>
    <t>Location:</t>
  </si>
  <si>
    <t>Customer Type:</t>
  </si>
  <si>
    <t>New/Previous Customer</t>
  </si>
  <si>
    <t>Sales Person:</t>
  </si>
  <si>
    <t>Include Installation</t>
  </si>
  <si>
    <t>Total Sell Price Upper Limit</t>
  </si>
  <si>
    <t>Total Sell Price Bottom Limit</t>
  </si>
  <si>
    <t>Not Include Installation</t>
  </si>
  <si>
    <t>Date:</t>
  </si>
  <si>
    <t>The Commission rate</t>
  </si>
  <si>
    <t>R-#</t>
  </si>
  <si>
    <t>Lead Installer</t>
  </si>
  <si>
    <t>Additional Installers</t>
  </si>
  <si>
    <t>Travel Distance (Total)</t>
  </si>
  <si>
    <t>Lodging and Food</t>
  </si>
  <si>
    <t>Initial Visit to Quote</t>
  </si>
  <si>
    <t>Onsite Salesman Time during Install</t>
  </si>
  <si>
    <t>UOM</t>
  </si>
  <si>
    <t>hr</t>
  </si>
  <si>
    <t>km</t>
  </si>
  <si>
    <t>day</t>
  </si>
  <si>
    <t>SKYJACK SJ 3215</t>
  </si>
  <si>
    <t>SKYJACK SJ 3219</t>
  </si>
  <si>
    <t>SKYJACK SJ 3220</t>
  </si>
  <si>
    <t>CAD/Day</t>
  </si>
  <si>
    <t>CAD/Week</t>
  </si>
  <si>
    <t>CAD/Month</t>
  </si>
  <si>
    <t>Deliv.</t>
  </si>
  <si>
    <t>Not included</t>
  </si>
  <si>
    <t>Drop Down List</t>
  </si>
  <si>
    <t>4-wheel Trolley</t>
  </si>
  <si>
    <t>90° Radius Corner</t>
  </si>
  <si>
    <t>Track 90° Square Corner</t>
  </si>
  <si>
    <t>Traffic + Access Door (Install of Frame)</t>
  </si>
  <si>
    <t>Access Door (Install Frame &amp; Door)</t>
  </si>
  <si>
    <t>EA</t>
  </si>
  <si>
    <t>Track 3-way "T"</t>
  </si>
  <si>
    <t>MU</t>
  </si>
  <si>
    <t>End User</t>
  </si>
  <si>
    <t>Distributor</t>
  </si>
  <si>
    <t>New</t>
  </si>
  <si>
    <t>Yes</t>
  </si>
  <si>
    <t>No</t>
  </si>
  <si>
    <t>USA</t>
  </si>
  <si>
    <t>BC</t>
  </si>
  <si>
    <t>ON</t>
  </si>
  <si>
    <t>QC</t>
  </si>
  <si>
    <t>Non-insulated Material</t>
  </si>
  <si>
    <t>Insulated Material</t>
  </si>
  <si>
    <t>Noise Material</t>
  </si>
  <si>
    <t>Existing</t>
  </si>
  <si>
    <t>Prairies (AB, SK, MB)</t>
  </si>
  <si>
    <t>Maritime (NB, NS, PEI)</t>
  </si>
  <si>
    <t>NFLD</t>
  </si>
  <si>
    <t>None</t>
  </si>
  <si>
    <t>lot</t>
  </si>
  <si>
    <t>doors</t>
  </si>
  <si>
    <t>Fence Rail Seal</t>
  </si>
  <si>
    <t>Obstruction Cut Outs (Valance &amp; Wall)</t>
  </si>
  <si>
    <t>Aircraft Cable</t>
  </si>
  <si>
    <t>D-ring Strap-down</t>
  </si>
  <si>
    <t>700-series Track &amp; Trolley</t>
  </si>
  <si>
    <t>Installation Time Reference</t>
  </si>
  <si>
    <t>Variable</t>
  </si>
  <si>
    <t>Base Hr</t>
  </si>
  <si>
    <t>Curtain Dimension</t>
  </si>
  <si>
    <t>Cut Outs</t>
  </si>
  <si>
    <t># of cuts</t>
  </si>
  <si>
    <t># of doors</t>
  </si>
  <si>
    <t>Fence Rail</t>
  </si>
  <si>
    <r>
      <t xml:space="preserve">Standard Unit/Range (W </t>
    </r>
    <r>
      <rPr>
        <b/>
        <sz val="12"/>
        <color theme="1"/>
        <rFont val="Calibri"/>
        <family val="2"/>
      </rPr>
      <t>×</t>
    </r>
    <r>
      <rPr>
        <b/>
        <sz val="12"/>
        <color theme="1"/>
        <rFont val="Calibri"/>
        <family val="2"/>
        <scheme val="minor"/>
      </rPr>
      <t xml:space="preserve"> H)</t>
    </r>
  </si>
  <si>
    <t>10' × up to 10'</t>
  </si>
  <si>
    <t>10' × over 30'</t>
  </si>
  <si>
    <t>10'</t>
  </si>
  <si>
    <t>10' × up to 5'</t>
  </si>
  <si>
    <t>10' × 10-20'</t>
  </si>
  <si>
    <t>10' × 20-30'</t>
  </si>
  <si>
    <t>InsulWall Data</t>
  </si>
  <si>
    <t>Access Cut-out</t>
  </si>
  <si>
    <t>Wall B</t>
  </si>
  <si>
    <t>Wall C</t>
  </si>
  <si>
    <t>Wall D</t>
  </si>
  <si>
    <t>Wall E</t>
  </si>
  <si>
    <t>Accessories</t>
  </si>
  <si>
    <t>Unit Price Sell</t>
  </si>
  <si>
    <t>Total Price Sell (Bottom)</t>
  </si>
  <si>
    <t>Four Wheel Trolley</t>
  </si>
  <si>
    <t>90° radius corner</t>
  </si>
  <si>
    <t>Track 90° square corner</t>
  </si>
  <si>
    <t>Track three way 'T'</t>
  </si>
  <si>
    <t>Accessories Total Price:</t>
  </si>
  <si>
    <t>Contigency</t>
  </si>
  <si>
    <t>Installation</t>
  </si>
  <si>
    <t>Installers</t>
  </si>
  <si>
    <t>Unit Cost</t>
  </si>
  <si>
    <t>Travel Distance (Both ways)</t>
  </si>
  <si>
    <t>Salesman Initial Visit</t>
  </si>
  <si>
    <t>Salesman Onsite Installation</t>
  </si>
  <si>
    <t>Freight</t>
  </si>
  <si>
    <t>Pete's Onsite Design</t>
  </si>
  <si>
    <t>Access &amp; Traffic Doors</t>
  </si>
  <si>
    <t>Access Doors</t>
  </si>
  <si>
    <t>nights</t>
  </si>
  <si>
    <t>Installation Total Price</t>
  </si>
  <si>
    <t>Valance R-3</t>
  </si>
  <si>
    <t>Valance R-6</t>
  </si>
  <si>
    <t>Included</t>
  </si>
  <si>
    <t>Access Doors Installation</t>
  </si>
  <si>
    <t>Time</t>
  </si>
  <si>
    <t>1+n ppl/hr</t>
  </si>
  <si>
    <t>Lower MU</t>
  </si>
  <si>
    <t>Upper MU</t>
  </si>
  <si>
    <t>Day(s)</t>
  </si>
  <si>
    <t>Week(s)</t>
  </si>
  <si>
    <t>Month(s)</t>
  </si>
  <si>
    <t>Curtain A Total Amount/Time (hr)</t>
  </si>
  <si>
    <t>Curtain E Total Amount/Time (hr)</t>
  </si>
  <si>
    <t>Curtain D Total Amount/Time (hr)</t>
  </si>
  <si>
    <t>Curtain C Total Amount/Time (hr)</t>
  </si>
  <si>
    <t>Curtain B Total Amount/Time (hr)</t>
  </si>
  <si>
    <t>Accessory</t>
  </si>
  <si>
    <t>Margin</t>
  </si>
  <si>
    <t>Total w/o Commission</t>
  </si>
  <si>
    <t>Price</t>
  </si>
  <si>
    <t>With Installation</t>
  </si>
  <si>
    <t>Without Installation</t>
  </si>
  <si>
    <t>Commision Rate Reference</t>
  </si>
  <si>
    <t>Below half</t>
  </si>
  <si>
    <t>Above half</t>
  </si>
  <si>
    <t>New Customer</t>
  </si>
  <si>
    <t>Existing Customer</t>
  </si>
  <si>
    <t>Installation Included</t>
  </si>
  <si>
    <t>Installation Not Included</t>
  </si>
  <si>
    <t>Total Price Sell</t>
  </si>
  <si>
    <t>Cost</t>
  </si>
  <si>
    <t>InsulWall Quote</t>
  </si>
  <si>
    <t>R-3 Folding</t>
  </si>
  <si>
    <t>R-6 Folding</t>
  </si>
  <si>
    <t>Valance R-3 Folding</t>
  </si>
  <si>
    <t>Valance R-6 Folding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</si>
</sst>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7" formatCode="&quot;$&quot;#,##0.00_);\(&quot;$&quot;#,##0.00\)"/>
    <numFmt numFmtId="8" formatCode="&quot;$&quot;#,##0.00_);[Red]\(&quot;$&quot;#,##0.00\)"/>
    <numFmt numFmtId="44" formatCode="_(&quot;$&quot;* #,##0.00_);_(&quot;$&quot;* \(#,##0.00\);_(&quot;$&quot;* &quot;-&quot;??_);_(@_)"/>
    <numFmt numFmtId="164" formatCode="[$$-409]#,##0.00"/>
    <numFmt numFmtId="165" formatCode="[$$-1009]#,##0.00"/>
    <numFmt numFmtId="166" formatCode="[$-409]d\-mmm\-yyyy;@"/>
    <numFmt numFmtId="167" formatCode="&quot;$&quot;#,##0.00"/>
    <numFmt numFmtId="168" formatCode="m/d/yy\ h:mm;@"/>
  </numFmts>
  <fonts count="18" x14ac:knownFonts="1">
    <font>
      <sz val="11"/>
      <color theme="1"/>
      <name val="Calibri"/>
      <family val="2"/>
      <scheme val="minor"/>
    </font>
    <font>
      <sz val="11"/>
      <color theme="1"/>
      <name val="Calibri"/>
      <family val="2"/>
      <scheme val="minor"/>
    </font>
    <font>
      <sz val="11"/>
      <color rgb="FF006100"/>
      <name val="Calibri"/>
      <family val="2"/>
      <scheme val="minor"/>
    </font>
    <font>
      <b/>
      <sz val="12"/>
      <name val="Calibri"/>
      <family val="2"/>
      <scheme val="minor"/>
    </font>
    <font>
      <b/>
      <sz val="14"/>
      <color theme="1"/>
      <name val="Calibri"/>
      <family val="2"/>
      <scheme val="minor"/>
    </font>
    <font>
      <b/>
      <u/>
      <sz val="16"/>
      <color theme="1"/>
      <name val="Calibri"/>
      <family val="2"/>
      <scheme val="minor"/>
    </font>
    <font>
      <b/>
      <sz val="11"/>
      <color theme="1"/>
      <name val="Calibri"/>
      <family val="2"/>
      <scheme val="minor"/>
    </font>
    <font>
      <sz val="11"/>
      <color rgb="FF3F3F76"/>
      <name val="Calibri"/>
      <family val="2"/>
      <scheme val="minor"/>
    </font>
    <font>
      <b/>
      <sz val="11"/>
      <color rgb="FFFA7D00"/>
      <name val="Calibri"/>
      <family val="2"/>
      <scheme val="minor"/>
    </font>
    <font>
      <b/>
      <sz val="16"/>
      <color theme="1"/>
      <name val="Calibri"/>
      <family val="2"/>
      <scheme val="minor"/>
    </font>
    <font>
      <b/>
      <sz val="12"/>
      <color theme="1"/>
      <name val="Calibri"/>
      <family val="2"/>
      <scheme val="minor"/>
    </font>
    <font>
      <b/>
      <sz val="11"/>
      <color theme="0"/>
      <name val="Calibri"/>
      <family val="2"/>
      <scheme val="minor"/>
    </font>
    <font>
      <b/>
      <sz val="12"/>
      <color theme="1"/>
      <name val="Calibri"/>
      <family val="2"/>
    </font>
    <font>
      <b/>
      <sz val="26"/>
      <color theme="1"/>
      <name val="Calibri"/>
      <family val="2"/>
      <scheme val="minor"/>
    </font>
    <font>
      <sz val="14"/>
      <color theme="1"/>
      <name val="Calibri"/>
      <family val="2"/>
      <scheme val="minor"/>
    </font>
    <font>
      <b/>
      <u/>
      <sz val="14"/>
      <color theme="1"/>
      <name val="Calibri"/>
      <family val="2"/>
      <scheme val="minor"/>
    </font>
    <font>
      <sz val="14"/>
      <color rgb="FF000000"/>
      <name val="Calibri"/>
      <family val="2"/>
    </font>
    <font>
      <sz val="11"/>
      <name val="Calibri"/>
      <family val="2"/>
      <scheme val="minor"/>
    </font>
  </fonts>
  <fills count="12">
    <fill>
      <patternFill patternType="none"/>
    </fill>
    <fill>
      <patternFill patternType="gray125"/>
    </fill>
    <fill>
      <patternFill patternType="solid">
        <fgColor rgb="FFC6EFCE"/>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C99"/>
      </patternFill>
    </fill>
    <fill>
      <patternFill patternType="solid">
        <fgColor rgb="FFF2F2F2"/>
      </patternFill>
    </fill>
    <fill>
      <patternFill patternType="solid">
        <fgColor rgb="FFFFFFCC"/>
      </patternFill>
    </fill>
    <fill>
      <patternFill patternType="solid">
        <fgColor theme="0"/>
        <bgColor indexed="64"/>
      </patternFill>
    </fill>
    <fill>
      <patternFill patternType="solid">
        <fgColor rgb="FFA5A5A5"/>
      </patternFill>
    </fill>
    <fill>
      <patternFill patternType="solid">
        <fgColor theme="3" tint="0.79998168889431442"/>
        <bgColor indexed="64"/>
      </patternFill>
    </fill>
    <fill>
      <patternFill patternType="solid">
        <fgColor rgb="FF92D050"/>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auto="1"/>
      </left>
      <right/>
      <top style="medium">
        <color auto="1"/>
      </top>
      <bottom style="medium">
        <color auto="1"/>
      </bottom>
      <diagonal/>
    </border>
    <border>
      <left/>
      <right style="medium">
        <color indexed="64"/>
      </right>
      <top style="medium">
        <color indexed="64"/>
      </top>
      <bottom style="medium">
        <color indexed="64"/>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medium">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indexed="64"/>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diagonal/>
    </border>
    <border>
      <left style="double">
        <color rgb="FF3F3F3F"/>
      </left>
      <right style="double">
        <color rgb="FF3F3F3F"/>
      </right>
      <top style="double">
        <color rgb="FF3F3F3F"/>
      </top>
      <bottom/>
      <diagonal/>
    </border>
    <border>
      <left style="medium">
        <color auto="1"/>
      </left>
      <right style="medium">
        <color auto="1"/>
      </right>
      <top/>
      <bottom style="medium">
        <color auto="1"/>
      </bottom>
      <diagonal/>
    </border>
    <border>
      <left style="thin">
        <color rgb="FF7F7F7F"/>
      </left>
      <right/>
      <top style="thin">
        <color rgb="FF7F7F7F"/>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9">
    <xf numFmtId="0" fontId="0" fillId="0" borderId="0"/>
    <xf numFmtId="9" fontId="1" fillId="0" borderId="0" applyFont="0" applyFill="0" applyBorder="0" applyAlignment="0" applyProtection="0"/>
    <xf numFmtId="0" fontId="2" fillId="2" borderId="0" applyNumberFormat="0" applyBorder="0" applyAlignment="0" applyProtection="0"/>
    <xf numFmtId="0" fontId="4" fillId="4" borderId="10" applyFont="0" applyBorder="0"/>
    <xf numFmtId="0" fontId="7" fillId="5" borderId="14" applyNumberFormat="0" applyAlignment="0" applyProtection="0"/>
    <xf numFmtId="0" fontId="8" fillId="6" borderId="14" applyNumberFormat="0" applyAlignment="0" applyProtection="0"/>
    <xf numFmtId="0" fontId="1" fillId="7" borderId="15" applyNumberFormat="0" applyFont="0" applyAlignment="0" applyProtection="0"/>
    <xf numFmtId="0" fontId="11" fillId="9" borderId="25" applyNumberFormat="0" applyAlignment="0" applyProtection="0"/>
    <xf numFmtId="44" fontId="1" fillId="0" borderId="0" applyFont="0" applyFill="0" applyBorder="0" applyAlignment="0" applyProtection="0"/>
  </cellStyleXfs>
  <cellXfs count="218">
    <xf numFmtId="0" fontId="0" fillId="0" borderId="0" xfId="0"/>
    <xf numFmtId="0" fontId="3" fillId="3" borderId="2" xfId="2" applyFont="1" applyFill="1" applyBorder="1" applyAlignment="1">
      <alignment horizontal="center"/>
    </xf>
    <xf numFmtId="0" fontId="0" fillId="0" borderId="0" xfId="0" applyAlignment="1">
      <alignment horizontal="center"/>
    </xf>
    <xf numFmtId="0" fontId="3" fillId="3" borderId="3" xfId="2" applyFont="1" applyFill="1" applyBorder="1" applyAlignment="1">
      <alignment horizontal="center"/>
    </xf>
    <xf numFmtId="0" fontId="3" fillId="3" borderId="4" xfId="2" applyFont="1" applyFill="1" applyBorder="1" applyAlignment="1">
      <alignment horizontal="center"/>
    </xf>
    <xf numFmtId="0" fontId="3" fillId="3" borderId="5" xfId="2" applyFont="1" applyFill="1" applyBorder="1" applyAlignment="1">
      <alignment horizontal="center"/>
    </xf>
    <xf numFmtId="164" fontId="0" fillId="0" borderId="1" xfId="0" applyNumberFormat="1" applyBorder="1" applyAlignment="1">
      <alignment horizontal="center"/>
    </xf>
    <xf numFmtId="2" fontId="0" fillId="0" borderId="1" xfId="0" applyNumberFormat="1" applyBorder="1" applyAlignment="1">
      <alignment horizontal="center"/>
    </xf>
    <xf numFmtId="165" fontId="0" fillId="0" borderId="1" xfId="0" applyNumberFormat="1" applyBorder="1" applyAlignment="1">
      <alignment horizontal="center"/>
    </xf>
    <xf numFmtId="166" fontId="0" fillId="0" borderId="6" xfId="0" applyNumberFormat="1" applyBorder="1" applyAlignment="1">
      <alignment horizontal="center"/>
    </xf>
    <xf numFmtId="0" fontId="3" fillId="3" borderId="7" xfId="2" applyFont="1" applyFill="1" applyBorder="1" applyAlignment="1">
      <alignment horizontal="center"/>
    </xf>
    <xf numFmtId="2" fontId="0" fillId="0" borderId="8" xfId="0" applyNumberFormat="1" applyBorder="1" applyAlignment="1">
      <alignment horizontal="center"/>
    </xf>
    <xf numFmtId="165" fontId="0" fillId="0" borderId="8" xfId="0" applyNumberFormat="1" applyBorder="1" applyAlignment="1">
      <alignment horizontal="center"/>
    </xf>
    <xf numFmtId="166" fontId="0" fillId="0" borderId="9" xfId="0" applyNumberFormat="1" applyBorder="1" applyAlignment="1">
      <alignment horizontal="center"/>
    </xf>
    <xf numFmtId="165" fontId="0" fillId="0" borderId="0" xfId="0" applyNumberFormat="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0" borderId="8" xfId="0" applyBorder="1" applyAlignment="1">
      <alignment horizontal="center"/>
    </xf>
    <xf numFmtId="165" fontId="0" fillId="3" borderId="3" xfId="0" applyNumberFormat="1" applyFill="1" applyBorder="1" applyAlignment="1">
      <alignment horizontal="center"/>
    </xf>
    <xf numFmtId="0" fontId="0" fillId="0" borderId="0" xfId="0" applyBorder="1" applyAlignment="1">
      <alignment horizontal="center"/>
    </xf>
    <xf numFmtId="165" fontId="0" fillId="0" borderId="0" xfId="0" applyNumberFormat="1" applyBorder="1" applyAlignment="1">
      <alignment horizontal="center"/>
    </xf>
    <xf numFmtId="0" fontId="9" fillId="4" borderId="2" xfId="3" applyFont="1" applyBorder="1" applyAlignment="1">
      <alignment horizontal="center"/>
    </xf>
    <xf numFmtId="0" fontId="0" fillId="4" borderId="4" xfId="3" applyFont="1" applyBorder="1" applyAlignment="1">
      <alignment horizontal="center"/>
    </xf>
    <xf numFmtId="0" fontId="4" fillId="4" borderId="2" xfId="3" applyFont="1" applyBorder="1" applyAlignment="1">
      <alignment horizontal="center"/>
    </xf>
    <xf numFmtId="0" fontId="0" fillId="4" borderId="3" xfId="3" applyFont="1" applyBorder="1" applyAlignment="1">
      <alignment horizontal="center"/>
    </xf>
    <xf numFmtId="0" fontId="0" fillId="4" borderId="5" xfId="3" applyFont="1" applyBorder="1" applyAlignment="1" applyProtection="1">
      <alignment horizontal="center"/>
      <protection locked="0"/>
    </xf>
    <xf numFmtId="167" fontId="0" fillId="4" borderId="5" xfId="3" applyNumberFormat="1" applyFont="1" applyBorder="1" applyAlignment="1" applyProtection="1">
      <alignment horizontal="center"/>
      <protection locked="0"/>
    </xf>
    <xf numFmtId="10" fontId="0" fillId="0" borderId="1" xfId="0" applyNumberFormat="1" applyBorder="1" applyAlignment="1" applyProtection="1">
      <alignment horizontal="center"/>
      <protection locked="0"/>
    </xf>
    <xf numFmtId="167" fontId="0" fillId="0" borderId="6" xfId="0" applyNumberFormat="1" applyBorder="1" applyAlignment="1" applyProtection="1">
      <alignment horizontal="center"/>
      <protection locked="0"/>
    </xf>
    <xf numFmtId="7" fontId="7" fillId="4" borderId="19" xfId="3" applyNumberFormat="1" applyFont="1" applyBorder="1"/>
    <xf numFmtId="8" fontId="0" fillId="0" borderId="21" xfId="0" applyNumberFormat="1" applyBorder="1" applyAlignment="1">
      <alignment horizontal="center"/>
    </xf>
    <xf numFmtId="0" fontId="0" fillId="4" borderId="19" xfId="3" applyFont="1" applyBorder="1"/>
    <xf numFmtId="167" fontId="0" fillId="4" borderId="11" xfId="3" applyNumberFormat="1" applyFont="1" applyBorder="1" applyAlignment="1" applyProtection="1">
      <alignment horizontal="center"/>
      <protection locked="0"/>
    </xf>
    <xf numFmtId="10" fontId="0" fillId="0" borderId="12" xfId="0" applyNumberFormat="1" applyBorder="1" applyAlignment="1" applyProtection="1">
      <alignment horizontal="center"/>
      <protection locked="0"/>
    </xf>
    <xf numFmtId="167" fontId="0" fillId="0" borderId="13" xfId="0" applyNumberFormat="1" applyBorder="1" applyAlignment="1" applyProtection="1">
      <alignment horizontal="center"/>
      <protection locked="0"/>
    </xf>
    <xf numFmtId="167" fontId="0" fillId="4" borderId="5" xfId="3" applyNumberFormat="1" applyFont="1" applyBorder="1" applyAlignment="1">
      <alignment horizontal="center"/>
    </xf>
    <xf numFmtId="10" fontId="0" fillId="8" borderId="1" xfId="3" applyNumberFormat="1" applyFont="1" applyFill="1" applyBorder="1" applyAlignment="1">
      <alignment horizontal="center"/>
    </xf>
    <xf numFmtId="167" fontId="0" fillId="0" borderId="6" xfId="3" applyNumberFormat="1" applyFont="1" applyFill="1" applyBorder="1" applyAlignment="1">
      <alignment horizontal="center"/>
    </xf>
    <xf numFmtId="167" fontId="0" fillId="4" borderId="7" xfId="3" applyNumberFormat="1" applyFont="1" applyBorder="1" applyAlignment="1">
      <alignment horizontal="center"/>
    </xf>
    <xf numFmtId="10" fontId="0" fillId="8" borderId="8" xfId="3" applyNumberFormat="1" applyFont="1" applyFill="1" applyBorder="1" applyAlignment="1">
      <alignment horizontal="center"/>
    </xf>
    <xf numFmtId="167" fontId="0" fillId="0" borderId="9" xfId="3" applyNumberFormat="1" applyFont="1" applyFill="1" applyBorder="1" applyAlignment="1">
      <alignment horizontal="center"/>
    </xf>
    <xf numFmtId="9" fontId="0" fillId="3" borderId="3" xfId="1" applyFont="1" applyFill="1" applyBorder="1" applyAlignment="1">
      <alignment horizontal="center"/>
    </xf>
    <xf numFmtId="166" fontId="0" fillId="3" borderId="4" xfId="0" applyNumberFormat="1" applyFill="1" applyBorder="1" applyAlignment="1">
      <alignment horizontal="center"/>
    </xf>
    <xf numFmtId="0" fontId="6" fillId="3" borderId="3" xfId="0" applyFont="1" applyFill="1" applyBorder="1" applyAlignment="1">
      <alignment horizontal="center"/>
    </xf>
    <xf numFmtId="165" fontId="6" fillId="3" borderId="3" xfId="0" applyNumberFormat="1" applyFont="1" applyFill="1" applyBorder="1" applyAlignment="1">
      <alignment horizontal="center"/>
    </xf>
    <xf numFmtId="165" fontId="7" fillId="5" borderId="1" xfId="4" applyNumberFormat="1" applyBorder="1" applyAlignment="1">
      <alignment horizontal="center"/>
    </xf>
    <xf numFmtId="9" fontId="7" fillId="5" borderId="14" xfId="4" applyNumberFormat="1" applyBorder="1" applyAlignment="1">
      <alignment horizontal="center"/>
    </xf>
    <xf numFmtId="9" fontId="7" fillId="5" borderId="26" xfId="4" applyNumberFormat="1" applyBorder="1" applyAlignment="1">
      <alignment horizontal="center"/>
    </xf>
    <xf numFmtId="0" fontId="0" fillId="0" borderId="1" xfId="0" applyFill="1" applyBorder="1" applyAlignment="1">
      <alignment horizontal="center"/>
    </xf>
    <xf numFmtId="0" fontId="0" fillId="0" borderId="6" xfId="0" applyFont="1"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10" fillId="3" borderId="27" xfId="2" applyFont="1" applyFill="1" applyBorder="1" applyAlignment="1">
      <alignment horizontal="center"/>
    </xf>
    <xf numFmtId="0" fontId="10" fillId="3" borderId="30" xfId="2" applyFont="1" applyFill="1" applyBorder="1" applyAlignment="1">
      <alignment horizontal="center"/>
    </xf>
    <xf numFmtId="0" fontId="10" fillId="3" borderId="5" xfId="2" applyFont="1" applyFill="1" applyBorder="1" applyAlignment="1">
      <alignment horizontal="center"/>
    </xf>
    <xf numFmtId="0" fontId="10" fillId="3" borderId="7" xfId="2" applyFont="1" applyFill="1" applyBorder="1" applyAlignment="1">
      <alignment horizontal="center"/>
    </xf>
    <xf numFmtId="0" fontId="10" fillId="3" borderId="28" xfId="2" applyFont="1" applyFill="1" applyBorder="1" applyAlignment="1">
      <alignment horizontal="center"/>
    </xf>
    <xf numFmtId="0" fontId="10" fillId="3" borderId="29" xfId="2" applyFont="1" applyFill="1" applyBorder="1" applyAlignment="1">
      <alignment horizontal="center"/>
    </xf>
    <xf numFmtId="0" fontId="10" fillId="3" borderId="0" xfId="2" applyFont="1" applyFill="1" applyBorder="1" applyAlignment="1">
      <alignment horizontal="center"/>
    </xf>
    <xf numFmtId="0" fontId="10" fillId="3" borderId="31" xfId="2" applyFont="1" applyFill="1" applyBorder="1" applyAlignment="1">
      <alignment horizontal="center"/>
    </xf>
    <xf numFmtId="0" fontId="3" fillId="3" borderId="11" xfId="2" applyFont="1" applyFill="1" applyBorder="1" applyAlignment="1">
      <alignment horizontal="center"/>
    </xf>
    <xf numFmtId="0" fontId="0" fillId="0" borderId="12" xfId="0" applyBorder="1" applyAlignment="1">
      <alignment horizontal="center"/>
    </xf>
    <xf numFmtId="165" fontId="0" fillId="0" borderId="12" xfId="0" applyNumberFormat="1" applyBorder="1" applyAlignment="1">
      <alignment horizontal="center"/>
    </xf>
    <xf numFmtId="0" fontId="3" fillId="3" borderId="1" xfId="2" applyFont="1" applyFill="1" applyBorder="1" applyAlignment="1">
      <alignment horizontal="center"/>
    </xf>
    <xf numFmtId="0" fontId="13" fillId="0" borderId="0" xfId="0" applyFont="1" applyAlignment="1">
      <alignment horizontal="center"/>
    </xf>
    <xf numFmtId="0" fontId="9" fillId="4" borderId="18" xfId="3" applyFont="1" applyBorder="1" applyAlignment="1">
      <alignment horizontal="left"/>
    </xf>
    <xf numFmtId="0" fontId="10" fillId="10" borderId="5" xfId="3" applyFont="1" applyFill="1" applyBorder="1" applyAlignment="1">
      <alignment horizontal="center"/>
    </xf>
    <xf numFmtId="0" fontId="10" fillId="10" borderId="11" xfId="3" applyFont="1" applyFill="1" applyBorder="1" applyAlignment="1">
      <alignment horizontal="center"/>
    </xf>
    <xf numFmtId="0" fontId="10" fillId="10" borderId="20" xfId="3" applyFont="1" applyFill="1" applyBorder="1" applyAlignment="1">
      <alignment horizontal="center"/>
    </xf>
    <xf numFmtId="0" fontId="0" fillId="11" borderId="0" xfId="0" applyFill="1" applyAlignment="1">
      <alignment horizontal="center"/>
    </xf>
    <xf numFmtId="168" fontId="0" fillId="11" borderId="0" xfId="0" applyNumberFormat="1" applyFill="1" applyAlignment="1">
      <alignment horizontal="center"/>
    </xf>
    <xf numFmtId="0" fontId="9" fillId="4" borderId="2" xfId="3" applyFont="1" applyBorder="1" applyAlignment="1" applyProtection="1">
      <alignment horizontal="center"/>
    </xf>
    <xf numFmtId="0" fontId="6" fillId="4" borderId="3" xfId="3" applyFont="1" applyBorder="1" applyAlignment="1" applyProtection="1">
      <alignment horizontal="center"/>
    </xf>
    <xf numFmtId="0" fontId="6" fillId="4" borderId="4" xfId="3" applyFont="1" applyBorder="1" applyAlignment="1">
      <alignment horizontal="center"/>
    </xf>
    <xf numFmtId="7" fontId="0" fillId="0" borderId="1" xfId="0" applyNumberFormat="1" applyFont="1" applyBorder="1" applyAlignment="1" applyProtection="1">
      <alignment horizontal="center"/>
    </xf>
    <xf numFmtId="167" fontId="0" fillId="0" borderId="1" xfId="0" applyNumberFormat="1" applyFont="1" applyBorder="1" applyAlignment="1" applyProtection="1">
      <alignment horizontal="center"/>
    </xf>
    <xf numFmtId="10" fontId="0" fillId="0" borderId="1" xfId="0" applyNumberFormat="1" applyFont="1" applyBorder="1" applyAlignment="1" applyProtection="1">
      <alignment horizontal="center"/>
    </xf>
    <xf numFmtId="10" fontId="0" fillId="0" borderId="8" xfId="0" applyNumberFormat="1" applyFont="1" applyBorder="1" applyAlignment="1" applyProtection="1">
      <alignment horizontal="center"/>
    </xf>
    <xf numFmtId="0" fontId="0" fillId="0" borderId="0" xfId="0" applyAlignment="1" applyProtection="1">
      <alignment horizontal="center"/>
    </xf>
    <xf numFmtId="0" fontId="7" fillId="5" borderId="1" xfId="4" applyFont="1" applyBorder="1" applyAlignment="1" applyProtection="1">
      <alignment horizontal="center"/>
    </xf>
    <xf numFmtId="167" fontId="7" fillId="5" borderId="1" xfId="4" applyNumberFormat="1" applyBorder="1" applyAlignment="1" applyProtection="1">
      <alignment horizontal="center"/>
    </xf>
    <xf numFmtId="0" fontId="5" fillId="3" borderId="32" xfId="0" applyFont="1" applyFill="1" applyBorder="1" applyAlignment="1">
      <alignment horizontal="center"/>
    </xf>
    <xf numFmtId="0" fontId="11" fillId="9" borderId="33" xfId="7" applyBorder="1" applyAlignment="1">
      <alignment horizontal="center"/>
    </xf>
    <xf numFmtId="0" fontId="4" fillId="3" borderId="34" xfId="0" applyFont="1" applyFill="1" applyBorder="1" applyAlignment="1">
      <alignment horizontal="center"/>
    </xf>
    <xf numFmtId="165" fontId="6" fillId="3" borderId="34" xfId="0" applyNumberFormat="1" applyFont="1" applyFill="1" applyBorder="1" applyAlignment="1">
      <alignment horizontal="center"/>
    </xf>
    <xf numFmtId="0" fontId="4" fillId="3" borderId="2" xfId="0" applyFont="1" applyFill="1" applyBorder="1" applyAlignment="1">
      <alignment horizontal="center"/>
    </xf>
    <xf numFmtId="0" fontId="6" fillId="3" borderId="4"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165" fontId="7" fillId="5" borderId="8" xfId="4" applyNumberFormat="1" applyBorder="1" applyAlignment="1">
      <alignment horizontal="center"/>
    </xf>
    <xf numFmtId="0" fontId="7" fillId="5" borderId="1" xfId="4" applyBorder="1" applyAlignment="1">
      <alignment horizontal="center"/>
    </xf>
    <xf numFmtId="167" fontId="8" fillId="6" borderId="1" xfId="5" applyNumberFormat="1" applyBorder="1" applyAlignment="1" applyProtection="1">
      <alignment horizontal="center"/>
    </xf>
    <xf numFmtId="0" fontId="7" fillId="5" borderId="8" xfId="4" applyBorder="1" applyAlignment="1">
      <alignment horizontal="center"/>
    </xf>
    <xf numFmtId="7" fontId="0" fillId="0" borderId="8" xfId="0" applyNumberFormat="1" applyFont="1" applyBorder="1" applyAlignment="1" applyProtection="1">
      <alignment horizontal="center"/>
    </xf>
    <xf numFmtId="167" fontId="8" fillId="6" borderId="8" xfId="5" applyNumberFormat="1" applyBorder="1" applyAlignment="1" applyProtection="1">
      <alignment horizontal="center"/>
    </xf>
    <xf numFmtId="167" fontId="0" fillId="0" borderId="8" xfId="0" applyNumberFormat="1" applyFont="1" applyBorder="1" applyAlignment="1" applyProtection="1">
      <alignment horizontal="center"/>
    </xf>
    <xf numFmtId="0" fontId="6" fillId="4" borderId="4" xfId="3" applyFont="1" applyBorder="1" applyAlignment="1" applyProtection="1">
      <alignment horizontal="center"/>
    </xf>
    <xf numFmtId="0" fontId="1" fillId="4" borderId="5" xfId="3" applyFont="1" applyBorder="1" applyAlignment="1" applyProtection="1">
      <alignment horizontal="center"/>
    </xf>
    <xf numFmtId="0" fontId="1" fillId="4" borderId="7" xfId="3" applyFont="1" applyBorder="1" applyAlignment="1" applyProtection="1">
      <alignment horizontal="center"/>
    </xf>
    <xf numFmtId="167" fontId="6" fillId="3" borderId="34" xfId="0" applyNumberFormat="1" applyFont="1" applyFill="1" applyBorder="1" applyAlignment="1" applyProtection="1">
      <alignment horizontal="center"/>
    </xf>
    <xf numFmtId="9" fontId="7" fillId="5" borderId="35" xfId="4" applyNumberFormat="1" applyBorder="1" applyAlignment="1">
      <alignment horizontal="center"/>
    </xf>
    <xf numFmtId="164" fontId="0" fillId="0" borderId="8" xfId="0" applyNumberFormat="1" applyBorder="1" applyAlignment="1">
      <alignment horizontal="center"/>
    </xf>
    <xf numFmtId="0" fontId="8" fillId="6" borderId="1" xfId="5" applyBorder="1" applyAlignment="1">
      <alignment horizontal="center"/>
    </xf>
    <xf numFmtId="165" fontId="8" fillId="6" borderId="1" xfId="5" applyNumberFormat="1" applyBorder="1" applyAlignment="1">
      <alignment horizontal="center"/>
    </xf>
    <xf numFmtId="0" fontId="0" fillId="4" borderId="5" xfId="3" applyFont="1" applyBorder="1" applyAlignment="1" applyProtection="1">
      <alignment horizontal="center"/>
    </xf>
    <xf numFmtId="0" fontId="0" fillId="4" borderId="7" xfId="3" applyFont="1" applyBorder="1" applyAlignment="1" applyProtection="1">
      <alignment horizontal="center"/>
    </xf>
    <xf numFmtId="2" fontId="6" fillId="3" borderId="34" xfId="0" applyNumberFormat="1" applyFont="1" applyFill="1" applyBorder="1" applyAlignment="1">
      <alignment horizontal="center"/>
    </xf>
    <xf numFmtId="0" fontId="10" fillId="3" borderId="2" xfId="2" applyFont="1" applyFill="1" applyBorder="1" applyAlignment="1">
      <alignment horizontal="center"/>
    </xf>
    <xf numFmtId="9" fontId="0" fillId="0" borderId="4" xfId="1" applyFont="1" applyFill="1" applyBorder="1" applyAlignment="1">
      <alignment horizontal="center"/>
    </xf>
    <xf numFmtId="9" fontId="0" fillId="0" borderId="9" xfId="1" applyFont="1" applyFill="1" applyBorder="1" applyAlignment="1">
      <alignment horizontal="center"/>
    </xf>
    <xf numFmtId="0" fontId="6" fillId="4" borderId="3" xfId="3" applyFont="1" applyBorder="1" applyAlignment="1" applyProtection="1">
      <alignment horizontal="center"/>
      <protection hidden="1"/>
    </xf>
    <xf numFmtId="7" fontId="0" fillId="0" borderId="1" xfId="0" applyNumberFormat="1" applyFont="1" applyBorder="1" applyAlignment="1" applyProtection="1">
      <alignment horizontal="center"/>
      <protection hidden="1"/>
    </xf>
    <xf numFmtId="0" fontId="0" fillId="0" borderId="1" xfId="0" applyBorder="1" applyAlignment="1" applyProtection="1">
      <alignment horizontal="center"/>
      <protection hidden="1"/>
    </xf>
    <xf numFmtId="7" fontId="0" fillId="0" borderId="8" xfId="0" applyNumberFormat="1" applyFont="1" applyBorder="1" applyAlignment="1" applyProtection="1">
      <alignment horizontal="center"/>
      <protection hidden="1"/>
    </xf>
    <xf numFmtId="0" fontId="0" fillId="3" borderId="16" xfId="0" applyFill="1" applyBorder="1" applyAlignment="1"/>
    <xf numFmtId="0" fontId="0" fillId="3" borderId="17" xfId="0" applyFill="1" applyBorder="1" applyAlignment="1"/>
    <xf numFmtId="0" fontId="6" fillId="3" borderId="3" xfId="0" applyFont="1" applyFill="1" applyBorder="1" applyAlignment="1" applyProtection="1">
      <alignment horizontal="center"/>
      <protection hidden="1"/>
    </xf>
    <xf numFmtId="165" fontId="0" fillId="0" borderId="1" xfId="0" applyNumberFormat="1" applyBorder="1" applyAlignment="1" applyProtection="1">
      <alignment horizontal="center"/>
      <protection hidden="1"/>
    </xf>
    <xf numFmtId="0" fontId="0" fillId="3" borderId="17" xfId="0" applyFill="1" applyBorder="1" applyAlignment="1" applyProtection="1">
      <protection hidden="1"/>
    </xf>
    <xf numFmtId="0" fontId="0" fillId="0" borderId="8" xfId="0" applyBorder="1" applyAlignment="1" applyProtection="1">
      <alignment horizontal="center"/>
      <protection hidden="1"/>
    </xf>
    <xf numFmtId="165" fontId="8" fillId="6" borderId="1" xfId="5" applyNumberFormat="1" applyBorder="1" applyAlignment="1" applyProtection="1">
      <alignment horizontal="center"/>
      <protection hidden="1"/>
    </xf>
    <xf numFmtId="0" fontId="4" fillId="3" borderId="23" xfId="0" applyFont="1" applyFill="1" applyBorder="1" applyAlignment="1">
      <alignment horizontal="center"/>
    </xf>
    <xf numFmtId="0" fontId="7" fillId="5" borderId="12" xfId="4" applyBorder="1" applyAlignment="1">
      <alignment horizontal="center"/>
    </xf>
    <xf numFmtId="0" fontId="8" fillId="6" borderId="12" xfId="5" applyBorder="1" applyAlignment="1">
      <alignment horizontal="center"/>
    </xf>
    <xf numFmtId="165" fontId="8" fillId="6" borderId="12" xfId="5" applyNumberFormat="1" applyBorder="1" applyAlignment="1" applyProtection="1">
      <alignment horizontal="center"/>
      <protection hidden="1"/>
    </xf>
    <xf numFmtId="165" fontId="0" fillId="0" borderId="12" xfId="0" applyNumberFormat="1" applyBorder="1" applyAlignment="1" applyProtection="1">
      <alignment horizontal="center"/>
      <protection hidden="1"/>
    </xf>
    <xf numFmtId="165" fontId="8" fillId="6" borderId="12" xfId="5" applyNumberFormat="1" applyBorder="1" applyAlignment="1">
      <alignment horizontal="center"/>
    </xf>
    <xf numFmtId="0" fontId="0" fillId="0" borderId="36" xfId="0" applyBorder="1" applyAlignment="1">
      <alignment horizontal="center"/>
    </xf>
    <xf numFmtId="0" fontId="7" fillId="5" borderId="36" xfId="4" applyBorder="1" applyAlignment="1">
      <alignment horizontal="center"/>
    </xf>
    <xf numFmtId="0" fontId="0" fillId="0" borderId="36" xfId="0" applyBorder="1" applyAlignment="1" applyProtection="1">
      <alignment horizontal="center"/>
      <protection hidden="1"/>
    </xf>
    <xf numFmtId="165" fontId="7" fillId="5" borderId="36" xfId="4" applyNumberFormat="1" applyBorder="1" applyAlignment="1">
      <alignment horizontal="center"/>
    </xf>
    <xf numFmtId="10" fontId="0" fillId="0" borderId="16" xfId="1" applyNumberFormat="1" applyFont="1" applyBorder="1" applyAlignment="1">
      <alignment horizontal="center"/>
    </xf>
    <xf numFmtId="10" fontId="0" fillId="0" borderId="37" xfId="1" applyNumberFormat="1" applyFont="1" applyBorder="1" applyAlignment="1">
      <alignment horizontal="center"/>
    </xf>
    <xf numFmtId="10" fontId="0" fillId="0" borderId="38" xfId="1" applyNumberFormat="1" applyFont="1" applyBorder="1" applyAlignment="1">
      <alignment horizontal="center"/>
    </xf>
    <xf numFmtId="0" fontId="0" fillId="7" borderId="13" xfId="6" applyFont="1" applyBorder="1" applyAlignment="1">
      <alignment vertical="top"/>
    </xf>
    <xf numFmtId="0" fontId="0" fillId="7" borderId="22" xfId="6" applyFont="1" applyBorder="1" applyAlignment="1">
      <alignment vertical="top"/>
    </xf>
    <xf numFmtId="0" fontId="0" fillId="7" borderId="39" xfId="6" applyFont="1" applyBorder="1" applyAlignment="1">
      <alignment vertical="top"/>
    </xf>
    <xf numFmtId="0" fontId="7" fillId="7" borderId="13" xfId="6" applyFont="1" applyBorder="1" applyAlignment="1" applyProtection="1">
      <alignment vertical="top"/>
      <protection locked="0"/>
    </xf>
    <xf numFmtId="0" fontId="7" fillId="7" borderId="22" xfId="6" applyFont="1" applyBorder="1" applyAlignment="1" applyProtection="1">
      <alignment vertical="top"/>
      <protection locked="0"/>
    </xf>
    <xf numFmtId="0" fontId="7" fillId="7" borderId="39" xfId="6" applyFont="1" applyBorder="1" applyAlignment="1" applyProtection="1">
      <alignment vertical="top"/>
      <protection locked="0"/>
    </xf>
    <xf numFmtId="165" fontId="8" fillId="6" borderId="40" xfId="5" applyNumberFormat="1" applyBorder="1" applyAlignment="1">
      <alignment horizontal="center"/>
    </xf>
    <xf numFmtId="2" fontId="8" fillId="6" borderId="14" xfId="5" applyNumberFormat="1" applyBorder="1" applyAlignment="1">
      <alignment horizontal="center"/>
    </xf>
    <xf numFmtId="0" fontId="7" fillId="5" borderId="14" xfId="4" applyBorder="1" applyAlignment="1">
      <alignment horizontal="center"/>
    </xf>
    <xf numFmtId="165" fontId="8" fillId="6" borderId="8" xfId="5" applyNumberFormat="1" applyBorder="1" applyAlignment="1">
      <alignment horizontal="center"/>
    </xf>
    <xf numFmtId="167" fontId="8" fillId="6" borderId="14" xfId="5" applyNumberFormat="1" applyBorder="1" applyAlignment="1">
      <alignment horizontal="center"/>
    </xf>
    <xf numFmtId="0" fontId="7" fillId="0" borderId="6" xfId="4" applyFill="1" applyBorder="1" applyAlignment="1" applyProtection="1">
      <alignment horizontal="center"/>
      <protection locked="0"/>
    </xf>
    <xf numFmtId="0" fontId="7" fillId="0" borderId="13" xfId="4" applyFill="1" applyBorder="1" applyAlignment="1" applyProtection="1">
      <alignment horizontal="center"/>
      <protection locked="0"/>
    </xf>
    <xf numFmtId="10" fontId="0" fillId="0" borderId="4" xfId="1" applyNumberFormat="1" applyFont="1" applyBorder="1" applyAlignment="1">
      <alignment horizontal="center"/>
    </xf>
    <xf numFmtId="10" fontId="0" fillId="0" borderId="6" xfId="1" applyNumberFormat="1" applyFont="1" applyBorder="1" applyAlignment="1">
      <alignment horizontal="center"/>
    </xf>
    <xf numFmtId="10" fontId="0" fillId="0" borderId="9" xfId="1" applyNumberFormat="1" applyFont="1" applyBorder="1" applyAlignment="1">
      <alignment horizontal="center"/>
    </xf>
    <xf numFmtId="8" fontId="0" fillId="0" borderId="22" xfId="0" applyNumberFormat="1" applyBorder="1" applyAlignment="1">
      <alignment horizontal="center"/>
    </xf>
    <xf numFmtId="0" fontId="10" fillId="4" borderId="41" xfId="3" applyFont="1" applyBorder="1" applyAlignment="1">
      <alignment horizontal="center"/>
    </xf>
    <xf numFmtId="14" fontId="7" fillId="0" borderId="42" xfId="4" applyNumberFormat="1" applyFill="1" applyBorder="1" applyAlignment="1" applyProtection="1">
      <alignment horizontal="center"/>
      <protection locked="0"/>
    </xf>
    <xf numFmtId="0" fontId="0" fillId="0" borderId="0" xfId="0" applyFont="1" applyAlignment="1">
      <alignment horizontal="center"/>
    </xf>
    <xf numFmtId="0" fontId="6" fillId="3" borderId="44" xfId="0" applyFont="1" applyFill="1" applyBorder="1" applyAlignment="1">
      <alignment horizontal="center"/>
    </xf>
    <xf numFmtId="0" fontId="6" fillId="3" borderId="28" xfId="0" applyFont="1" applyFill="1" applyBorder="1" applyAlignment="1">
      <alignment horizontal="center"/>
    </xf>
    <xf numFmtId="0" fontId="6" fillId="3" borderId="45" xfId="0" applyFont="1" applyFill="1" applyBorder="1" applyAlignment="1">
      <alignment horizontal="center"/>
    </xf>
    <xf numFmtId="0" fontId="6" fillId="3" borderId="43" xfId="0" applyFont="1" applyFill="1" applyBorder="1" applyAlignment="1">
      <alignment horizontal="center"/>
    </xf>
    <xf numFmtId="165" fontId="0" fillId="0" borderId="2" xfId="0" applyNumberFormat="1" applyFont="1" applyBorder="1" applyAlignment="1">
      <alignment horizontal="center"/>
    </xf>
    <xf numFmtId="165" fontId="0" fillId="0" borderId="47" xfId="0" applyNumberFormat="1" applyFont="1" applyBorder="1" applyAlignment="1">
      <alignment horizontal="center"/>
    </xf>
    <xf numFmtId="0" fontId="6" fillId="3" borderId="23" xfId="0" applyFont="1" applyFill="1" applyBorder="1" applyAlignment="1">
      <alignment horizontal="center"/>
    </xf>
    <xf numFmtId="165" fontId="0" fillId="0" borderId="5" xfId="0" applyNumberFormat="1" applyFont="1" applyBorder="1" applyAlignment="1">
      <alignment horizontal="center"/>
    </xf>
    <xf numFmtId="165" fontId="0" fillId="0" borderId="1" xfId="0" applyNumberFormat="1" applyFont="1" applyBorder="1" applyAlignment="1">
      <alignment horizontal="center"/>
    </xf>
    <xf numFmtId="7" fontId="0" fillId="0" borderId="5" xfId="0" applyNumberFormat="1" applyFont="1" applyBorder="1" applyAlignment="1">
      <alignment horizontal="center"/>
    </xf>
    <xf numFmtId="165" fontId="0" fillId="0" borderId="36" xfId="0" applyNumberFormat="1" applyFont="1" applyBorder="1" applyAlignment="1">
      <alignment horizontal="center"/>
    </xf>
    <xf numFmtId="0" fontId="6" fillId="3" borderId="46" xfId="0" applyFont="1" applyFill="1" applyBorder="1" applyAlignment="1">
      <alignment horizontal="center"/>
    </xf>
    <xf numFmtId="165" fontId="0" fillId="0" borderId="7" xfId="0" applyNumberFormat="1" applyFont="1" applyBorder="1" applyAlignment="1">
      <alignment horizontal="center"/>
    </xf>
    <xf numFmtId="165" fontId="0" fillId="0" borderId="8" xfId="0" applyNumberFormat="1" applyFont="1" applyBorder="1" applyAlignment="1">
      <alignment horizontal="center"/>
    </xf>
    <xf numFmtId="0" fontId="7" fillId="0" borderId="6" xfId="4" applyNumberFormat="1" applyFill="1" applyBorder="1" applyAlignment="1" applyProtection="1">
      <alignment horizontal="center"/>
      <protection locked="0"/>
    </xf>
    <xf numFmtId="0" fontId="10" fillId="4" borderId="18" xfId="3" applyFont="1" applyBorder="1" applyAlignment="1">
      <alignment horizontal="center"/>
    </xf>
    <xf numFmtId="14" fontId="7" fillId="0" borderId="10" xfId="4" applyNumberFormat="1" applyFill="1" applyBorder="1" applyAlignment="1" applyProtection="1">
      <alignment horizontal="center"/>
      <protection locked="0"/>
    </xf>
    <xf numFmtId="0" fontId="4" fillId="0" borderId="5" xfId="0" applyFont="1" applyBorder="1"/>
    <xf numFmtId="0" fontId="0" fillId="0" borderId="1" xfId="0" applyBorder="1"/>
    <xf numFmtId="0" fontId="0" fillId="0" borderId="6" xfId="0" applyBorder="1"/>
    <xf numFmtId="0" fontId="0" fillId="0" borderId="5" xfId="0" applyBorder="1" applyAlignment="1">
      <alignment horizontal="center"/>
    </xf>
    <xf numFmtId="10" fontId="0" fillId="0" borderId="1" xfId="0" applyNumberFormat="1" applyBorder="1"/>
    <xf numFmtId="10" fontId="0" fillId="0" borderId="6" xfId="0" applyNumberFormat="1" applyBorder="1"/>
    <xf numFmtId="0" fontId="0" fillId="0" borderId="7" xfId="0" applyBorder="1" applyAlignment="1">
      <alignment horizontal="center"/>
    </xf>
    <xf numFmtId="10" fontId="0" fillId="0" borderId="8" xfId="0" applyNumberFormat="1" applyBorder="1"/>
    <xf numFmtId="10" fontId="0" fillId="0" borderId="9" xfId="0" applyNumberFormat="1" applyBorder="1"/>
    <xf numFmtId="10" fontId="0" fillId="0" borderId="0" xfId="0" applyNumberFormat="1" applyBorder="1"/>
    <xf numFmtId="167" fontId="0" fillId="4" borderId="7" xfId="3" applyNumberFormat="1" applyFont="1" applyBorder="1" applyAlignment="1" applyProtection="1">
      <alignment horizontal="center"/>
      <protection locked="0"/>
    </xf>
    <xf numFmtId="10" fontId="0" fillId="0" borderId="8" xfId="0" applyNumberFormat="1" applyBorder="1" applyAlignment="1" applyProtection="1">
      <alignment horizontal="center"/>
      <protection locked="0"/>
    </xf>
    <xf numFmtId="0" fontId="4" fillId="4" borderId="10" xfId="3" applyFont="1" applyBorder="1" applyAlignment="1" applyProtection="1">
      <alignment horizontal="center"/>
    </xf>
    <xf numFmtId="165" fontId="6" fillId="3" borderId="10" xfId="0" applyNumberFormat="1" applyFont="1" applyFill="1" applyBorder="1" applyAlignment="1">
      <alignment horizontal="center"/>
    </xf>
    <xf numFmtId="0" fontId="0" fillId="3" borderId="24" xfId="0" applyFill="1" applyBorder="1" applyAlignment="1"/>
    <xf numFmtId="0" fontId="4" fillId="3" borderId="10" xfId="0" applyFont="1" applyFill="1" applyBorder="1" applyAlignment="1">
      <alignment horizontal="center"/>
    </xf>
    <xf numFmtId="0" fontId="9" fillId="4" borderId="44" xfId="3" applyFont="1" applyBorder="1" applyAlignment="1" applyProtection="1">
      <alignment horizontal="center"/>
    </xf>
    <xf numFmtId="0" fontId="6" fillId="4" borderId="47" xfId="3" applyFont="1" applyBorder="1" applyAlignment="1" applyProtection="1">
      <alignment horizontal="center"/>
    </xf>
    <xf numFmtId="0" fontId="6" fillId="4" borderId="47" xfId="3" applyFont="1" applyBorder="1" applyAlignment="1" applyProtection="1">
      <alignment horizontal="center"/>
      <protection hidden="1"/>
    </xf>
    <xf numFmtId="0" fontId="4" fillId="4" borderId="34" xfId="3" applyFont="1" applyBorder="1" applyAlignment="1" applyProtection="1">
      <alignment horizontal="center"/>
    </xf>
    <xf numFmtId="7" fontId="0" fillId="0" borderId="1" xfId="0" applyNumberFormat="1" applyBorder="1" applyAlignment="1">
      <alignment horizontal="center"/>
    </xf>
    <xf numFmtId="0" fontId="6" fillId="4" borderId="45" xfId="3" applyFont="1" applyBorder="1" applyAlignment="1" applyProtection="1">
      <alignment horizontal="center"/>
    </xf>
    <xf numFmtId="7" fontId="0" fillId="0" borderId="8" xfId="0" applyNumberFormat="1" applyBorder="1" applyAlignment="1">
      <alignment horizontal="center"/>
    </xf>
    <xf numFmtId="7" fontId="0" fillId="0" borderId="6" xfId="8" applyNumberFormat="1" applyFont="1" applyBorder="1" applyAlignment="1">
      <alignment horizontal="center"/>
    </xf>
    <xf numFmtId="7" fontId="0" fillId="0" borderId="9" xfId="8" applyNumberFormat="1" applyFont="1" applyBorder="1" applyAlignment="1">
      <alignment horizontal="center"/>
    </xf>
    <xf numFmtId="0" fontId="14" fillId="0" borderId="0" xfId="0" applyFont="1"/>
    <xf numFmtId="0" fontId="14" fillId="0" borderId="0" xfId="0" applyFont="1" applyAlignment="1">
      <alignment horizontal="center"/>
    </xf>
    <xf numFmtId="0" fontId="15" fillId="0" borderId="10" xfId="0" applyFont="1" applyFill="1" applyBorder="1" applyAlignment="1">
      <alignment horizontal="center" vertical="center"/>
    </xf>
    <xf numFmtId="0" fontId="7" fillId="5" borderId="14" xfId="4" applyAlignment="1">
      <alignment horizontal="center"/>
    </xf>
    <xf numFmtId="167" fontId="17" fillId="0" borderId="6" xfId="4" applyNumberFormat="1" applyFont="1" applyFill="1" applyBorder="1" applyAlignment="1" applyProtection="1">
      <alignment horizontal="center"/>
      <protection locked="0"/>
    </xf>
    <xf numFmtId="167" fontId="17" fillId="0" borderId="13" xfId="4" applyNumberFormat="1" applyFont="1" applyFill="1" applyBorder="1" applyAlignment="1" applyProtection="1">
      <alignment horizontal="center"/>
      <protection locked="0"/>
    </xf>
    <xf numFmtId="2" fontId="0" fillId="11" borderId="0" xfId="0" applyNumberFormat="1" applyFill="1" applyAlignment="1">
      <alignment horizontal="center"/>
    </xf>
    <xf numFmtId="0" fontId="10" fillId="10" borderId="7" xfId="3" applyFont="1" applyFill="1" applyBorder="1" applyAlignment="1">
      <alignment horizontal="center"/>
    </xf>
    <xf numFmtId="0" fontId="7" fillId="0" borderId="9" xfId="4" applyNumberFormat="1" applyFill="1" applyBorder="1" applyAlignment="1" applyProtection="1">
      <alignment horizontal="center"/>
      <protection locked="0"/>
    </xf>
    <xf numFmtId="0" fontId="3" fillId="3" borderId="23" xfId="2" applyFont="1" applyFill="1" applyBorder="1" applyAlignment="1">
      <alignment horizontal="center"/>
    </xf>
    <xf numFmtId="0" fontId="3" fillId="3" borderId="17" xfId="2" applyFont="1" applyFill="1" applyBorder="1" applyAlignment="1">
      <alignment horizontal="center"/>
    </xf>
    <xf numFmtId="0" fontId="3" fillId="3" borderId="24" xfId="2" applyFont="1" applyFill="1" applyBorder="1" applyAlignment="1">
      <alignment horizontal="center"/>
    </xf>
    <xf numFmtId="0" fontId="10" fillId="3" borderId="43" xfId="2" applyFont="1" applyFill="1" applyBorder="1" applyAlignment="1">
      <alignment horizontal="center"/>
    </xf>
    <xf numFmtId="0" fontId="10" fillId="3" borderId="48" xfId="2" applyFont="1" applyFill="1" applyBorder="1" applyAlignment="1">
      <alignment horizontal="center"/>
    </xf>
    <xf numFmtId="0" fontId="10" fillId="3" borderId="49" xfId="2" applyFont="1" applyFill="1" applyBorder="1" applyAlignment="1">
      <alignment horizontal="center"/>
    </xf>
    <xf numFmtId="0" fontId="6" fillId="3" borderId="23" xfId="0" applyFont="1" applyFill="1" applyBorder="1" applyAlignment="1">
      <alignment horizontal="center"/>
    </xf>
    <xf numFmtId="0" fontId="6" fillId="3" borderId="17" xfId="0" applyFont="1" applyFill="1" applyBorder="1" applyAlignment="1">
      <alignment horizontal="center"/>
    </xf>
    <xf numFmtId="0" fontId="6" fillId="3" borderId="24" xfId="0" applyFont="1" applyFill="1" applyBorder="1" applyAlignment="1">
      <alignment horizontal="center"/>
    </xf>
    <xf numFmtId="0" fontId="0" fillId="4" borderId="16" xfId="3" applyFont="1" applyBorder="1" applyAlignment="1" applyProtection="1">
      <alignment horizontal="center"/>
      <protection locked="0"/>
    </xf>
    <xf numFmtId="0" fontId="0" fillId="4" borderId="24" xfId="3" applyFont="1" applyBorder="1" applyAlignment="1" applyProtection="1">
      <alignment horizontal="center"/>
      <protection locked="0"/>
    </xf>
    <xf numFmtId="0" fontId="9" fillId="8" borderId="0" xfId="3" applyFont="1" applyFill="1" applyBorder="1" applyAlignment="1">
      <alignment horizontal="center"/>
    </xf>
  </cellXfs>
  <cellStyles count="9">
    <cellStyle name="Calculation" xfId="5" builtinId="22"/>
    <cellStyle name="Check Cell" xfId="7" builtinId="23"/>
    <cellStyle name="Currency" xfId="8" builtinId="4"/>
    <cellStyle name="Good" xfId="2" builtinId="26"/>
    <cellStyle name="Input" xfId="4" builtinId="20"/>
    <cellStyle name="Normal" xfId="0" builtinId="0"/>
    <cellStyle name="Note" xfId="6" builtinId="10"/>
    <cellStyle name="Percent" xfId="1" builtinId="5"/>
    <cellStyle name="Style 1" xfId="3"/>
  </cellStyles>
  <dxfs count="0"/>
  <tableStyles count="0" defaultTableStyle="TableStyleMedium9" defaultPivotStyle="PivotStyleLight16"/>
  <colors>
    <mruColors>
      <color rgb="FF43FF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1</xdr:row>
          <xdr:rowOff>57150</xdr:rowOff>
        </xdr:from>
        <xdr:to>
          <xdr:col>14</xdr:col>
          <xdr:colOff>1438275</xdr:colOff>
          <xdr:row>3</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xdr:row>
          <xdr:rowOff>238125</xdr:rowOff>
        </xdr:from>
        <xdr:to>
          <xdr:col>14</xdr:col>
          <xdr:colOff>1457325</xdr:colOff>
          <xdr:row>6</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104775</xdr:rowOff>
        </xdr:from>
        <xdr:to>
          <xdr:col>14</xdr:col>
          <xdr:colOff>1457325</xdr:colOff>
          <xdr:row>9</xdr:row>
          <xdr:rowOff>95250</xdr:rowOff>
        </xdr:to>
        <xdr:sp macro="" textlink="">
          <xdr:nvSpPr>
            <xdr:cNvPr id="2051" name="Button 3" descr="Edit Quote in Pricer Form"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Modify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11</xdr:row>
          <xdr:rowOff>9525</xdr:rowOff>
        </xdr:from>
        <xdr:to>
          <xdr:col>14</xdr:col>
          <xdr:colOff>1438275</xdr:colOff>
          <xdr:row>12</xdr:row>
          <xdr:rowOff>180975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Populate Printable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14</xdr:row>
          <xdr:rowOff>47625</xdr:rowOff>
        </xdr:from>
        <xdr:to>
          <xdr:col>14</xdr:col>
          <xdr:colOff>1447800</xdr:colOff>
          <xdr:row>16</xdr:row>
          <xdr:rowOff>57150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Reset Printable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2"/>
  <sheetViews>
    <sheetView workbookViewId="0">
      <selection activeCell="B9" sqref="B9"/>
    </sheetView>
  </sheetViews>
  <sheetFormatPr defaultRowHeight="15" x14ac:dyDescent="0.25"/>
  <cols>
    <col min="1" max="1" width="39.85546875" style="2" bestFit="1" customWidth="1"/>
    <col min="2" max="2" width="16" style="2" bestFit="1" customWidth="1"/>
    <col min="3" max="3" width="13.140625" style="2" bestFit="1" customWidth="1"/>
    <col min="4" max="4" width="16" style="2" bestFit="1" customWidth="1"/>
    <col min="5" max="5" width="7.5703125" style="2" bestFit="1" customWidth="1"/>
    <col min="6" max="6" width="5.5703125" style="2" bestFit="1" customWidth="1"/>
    <col min="7" max="7" width="19.140625" style="2" customWidth="1"/>
    <col min="8" max="8" width="12.5703125" style="2" customWidth="1"/>
    <col min="9" max="9" width="18.28515625" style="2" bestFit="1" customWidth="1"/>
    <col min="10" max="10" width="9.140625" style="2"/>
    <col min="11" max="11" width="28.140625" style="2" bestFit="1" customWidth="1"/>
    <col min="12" max="12" width="30.28515625" style="2" bestFit="1" customWidth="1"/>
    <col min="13" max="13" width="10.5703125" style="2" bestFit="1" customWidth="1"/>
    <col min="14" max="14" width="9.140625" style="2"/>
    <col min="15" max="15" width="8.42578125" style="2" bestFit="1" customWidth="1"/>
    <col min="16" max="16384" width="9.140625" style="2"/>
  </cols>
  <sheetData>
    <row r="1" spans="1:13" ht="15.75" x14ac:dyDescent="0.25">
      <c r="A1" s="1" t="s">
        <v>16</v>
      </c>
      <c r="B1" s="3" t="s">
        <v>7</v>
      </c>
      <c r="C1" s="3" t="s">
        <v>26</v>
      </c>
      <c r="D1" s="3" t="s">
        <v>8</v>
      </c>
      <c r="E1" s="3" t="s">
        <v>71</v>
      </c>
      <c r="F1" s="3" t="s">
        <v>91</v>
      </c>
      <c r="G1" s="3" t="s">
        <v>6</v>
      </c>
      <c r="H1" s="3" t="s">
        <v>25</v>
      </c>
      <c r="I1" s="4" t="s">
        <v>5</v>
      </c>
      <c r="K1" s="53" t="s">
        <v>116</v>
      </c>
      <c r="L1" s="57"/>
      <c r="M1" s="58"/>
    </row>
    <row r="2" spans="1:13" ht="15.75" x14ac:dyDescent="0.25">
      <c r="A2" s="5" t="s">
        <v>0</v>
      </c>
      <c r="B2" s="6">
        <v>2.46</v>
      </c>
      <c r="C2" s="7">
        <f>Data!C2</f>
        <v>1.35</v>
      </c>
      <c r="D2" s="8">
        <f>B2*C2</f>
        <v>3.3210000000000002</v>
      </c>
      <c r="E2" s="8" t="s">
        <v>44</v>
      </c>
      <c r="F2" s="47">
        <f>L14</f>
        <v>1.33</v>
      </c>
      <c r="G2" s="8">
        <f t="shared" ref="G2:G10" si="0">D2*F2</f>
        <v>4.4169300000000007</v>
      </c>
      <c r="H2" s="8">
        <f t="shared" ref="H2:H10" si="1">G2-D2</f>
        <v>1.0959300000000005</v>
      </c>
      <c r="I2" s="9">
        <v>42646</v>
      </c>
      <c r="K2" s="54" t="s">
        <v>117</v>
      </c>
      <c r="L2" s="59" t="s">
        <v>124</v>
      </c>
      <c r="M2" s="60" t="s">
        <v>118</v>
      </c>
    </row>
    <row r="3" spans="1:13" ht="15.75" x14ac:dyDescent="0.25">
      <c r="A3" s="5" t="s">
        <v>1</v>
      </c>
      <c r="B3" s="6">
        <v>2.98</v>
      </c>
      <c r="C3" s="7">
        <f>C2</f>
        <v>1.35</v>
      </c>
      <c r="D3" s="8">
        <f t="shared" ref="D3:D12" si="2">B3*C3</f>
        <v>4.0230000000000006</v>
      </c>
      <c r="E3" s="8" t="s">
        <v>44</v>
      </c>
      <c r="F3" s="47">
        <v>1.33</v>
      </c>
      <c r="G3" s="8">
        <f t="shared" si="0"/>
        <v>5.3505900000000013</v>
      </c>
      <c r="H3" s="8">
        <f t="shared" si="1"/>
        <v>1.3275900000000007</v>
      </c>
      <c r="I3" s="9">
        <v>42646</v>
      </c>
      <c r="K3" s="55" t="s">
        <v>119</v>
      </c>
      <c r="L3" s="49" t="s">
        <v>125</v>
      </c>
      <c r="M3" s="50">
        <v>1</v>
      </c>
    </row>
    <row r="4" spans="1:13" ht="15.75" x14ac:dyDescent="0.25">
      <c r="A4" s="5" t="s">
        <v>2</v>
      </c>
      <c r="B4" s="6">
        <f>2*B2</f>
        <v>4.92</v>
      </c>
      <c r="C4" s="7">
        <f>C2</f>
        <v>1.35</v>
      </c>
      <c r="D4" s="8">
        <f t="shared" si="2"/>
        <v>6.6420000000000003</v>
      </c>
      <c r="E4" s="8" t="s">
        <v>44</v>
      </c>
      <c r="F4" s="47">
        <v>1.33</v>
      </c>
      <c r="G4" s="8">
        <f t="shared" si="0"/>
        <v>8.8338600000000014</v>
      </c>
      <c r="H4" s="8">
        <f t="shared" si="1"/>
        <v>2.191860000000001</v>
      </c>
      <c r="I4" s="9">
        <v>42646</v>
      </c>
      <c r="K4" s="55"/>
      <c r="L4" s="49" t="s">
        <v>129</v>
      </c>
      <c r="M4" s="50">
        <v>1.25</v>
      </c>
    </row>
    <row r="5" spans="1:13" ht="15.75" x14ac:dyDescent="0.25">
      <c r="A5" s="5" t="s">
        <v>3</v>
      </c>
      <c r="B5" s="6">
        <f>2*B3</f>
        <v>5.96</v>
      </c>
      <c r="C5" s="7">
        <f>C2</f>
        <v>1.35</v>
      </c>
      <c r="D5" s="8">
        <f t="shared" si="2"/>
        <v>8.0460000000000012</v>
      </c>
      <c r="E5" s="8" t="s">
        <v>44</v>
      </c>
      <c r="F5" s="47">
        <v>1.33</v>
      </c>
      <c r="G5" s="8">
        <f t="shared" si="0"/>
        <v>10.701180000000003</v>
      </c>
      <c r="H5" s="8">
        <f t="shared" si="1"/>
        <v>2.6551800000000014</v>
      </c>
      <c r="I5" s="9">
        <v>42646</v>
      </c>
      <c r="K5" s="55"/>
      <c r="L5" s="49" t="s">
        <v>130</v>
      </c>
      <c r="M5" s="50">
        <v>1.4</v>
      </c>
    </row>
    <row r="6" spans="1:13" ht="15.75" x14ac:dyDescent="0.25">
      <c r="A6" s="5" t="s">
        <v>190</v>
      </c>
      <c r="B6" s="6">
        <v>2.46</v>
      </c>
      <c r="C6" s="7">
        <f t="shared" ref="C6" si="3">C5</f>
        <v>1.35</v>
      </c>
      <c r="D6" s="8">
        <f t="shared" ref="D6" si="4">B6*C6</f>
        <v>3.3210000000000002</v>
      </c>
      <c r="E6" s="8" t="s">
        <v>44</v>
      </c>
      <c r="F6" s="47">
        <v>1.33</v>
      </c>
      <c r="G6" s="8">
        <f t="shared" si="0"/>
        <v>4.4169300000000007</v>
      </c>
      <c r="H6" s="8">
        <f t="shared" si="1"/>
        <v>1.0959300000000005</v>
      </c>
      <c r="I6" s="9">
        <v>42702</v>
      </c>
      <c r="K6" s="55"/>
      <c r="L6" s="49" t="s">
        <v>126</v>
      </c>
      <c r="M6" s="51">
        <v>1.8</v>
      </c>
    </row>
    <row r="7" spans="1:13" ht="15.75" x14ac:dyDescent="0.25">
      <c r="A7" s="5" t="s">
        <v>191</v>
      </c>
      <c r="B7" s="6">
        <v>2.98</v>
      </c>
      <c r="C7" s="7">
        <f t="shared" ref="C7" si="5">C5</f>
        <v>1.35</v>
      </c>
      <c r="D7" s="8">
        <f t="shared" ref="D7" si="6">B7*C7</f>
        <v>4.0230000000000006</v>
      </c>
      <c r="E7" s="8" t="s">
        <v>44</v>
      </c>
      <c r="F7" s="47">
        <v>1.33</v>
      </c>
      <c r="G7" s="8">
        <f t="shared" si="0"/>
        <v>5.3505900000000013</v>
      </c>
      <c r="H7" s="8">
        <f t="shared" si="1"/>
        <v>1.3275900000000007</v>
      </c>
      <c r="I7" s="9">
        <v>42702</v>
      </c>
      <c r="K7" s="55" t="s">
        <v>120</v>
      </c>
      <c r="L7" s="49" t="s">
        <v>121</v>
      </c>
      <c r="M7" s="51">
        <v>0.25</v>
      </c>
    </row>
    <row r="8" spans="1:13" ht="15.75" x14ac:dyDescent="0.25">
      <c r="A8" s="5" t="s">
        <v>4</v>
      </c>
      <c r="B8" s="6">
        <v>1.85</v>
      </c>
      <c r="C8" s="7">
        <f t="shared" ref="C8" si="7">C5</f>
        <v>1.35</v>
      </c>
      <c r="D8" s="8">
        <f t="shared" si="2"/>
        <v>2.4975000000000005</v>
      </c>
      <c r="E8" s="8" t="s">
        <v>45</v>
      </c>
      <c r="F8" s="47">
        <v>1.33</v>
      </c>
      <c r="G8" s="8">
        <f t="shared" si="0"/>
        <v>3.3216750000000008</v>
      </c>
      <c r="H8" s="8">
        <f t="shared" si="1"/>
        <v>0.82417500000000032</v>
      </c>
      <c r="I8" s="9">
        <v>42646</v>
      </c>
      <c r="K8" s="55" t="s">
        <v>42</v>
      </c>
      <c r="L8" s="49" t="s">
        <v>122</v>
      </c>
      <c r="M8" s="51">
        <v>0.5</v>
      </c>
    </row>
    <row r="9" spans="1:13" ht="15.75" x14ac:dyDescent="0.25">
      <c r="A9" s="5" t="s">
        <v>192</v>
      </c>
      <c r="B9" s="6">
        <v>4.1100000000000003</v>
      </c>
      <c r="C9" s="7">
        <f t="shared" ref="C9" si="8">C8</f>
        <v>1.35</v>
      </c>
      <c r="D9" s="8">
        <f t="shared" si="2"/>
        <v>5.5485000000000007</v>
      </c>
      <c r="E9" s="8" t="s">
        <v>44</v>
      </c>
      <c r="F9" s="47">
        <v>1.33</v>
      </c>
      <c r="G9" s="8">
        <f t="shared" si="0"/>
        <v>7.3795050000000009</v>
      </c>
      <c r="H9" s="8">
        <f t="shared" si="1"/>
        <v>1.8310050000000002</v>
      </c>
      <c r="I9" s="9">
        <v>42702</v>
      </c>
      <c r="K9" s="55" t="s">
        <v>39</v>
      </c>
      <c r="L9" s="49" t="s">
        <v>128</v>
      </c>
      <c r="M9" s="51">
        <v>0.5</v>
      </c>
    </row>
    <row r="10" spans="1:13" ht="15.75" x14ac:dyDescent="0.25">
      <c r="A10" s="5" t="s">
        <v>193</v>
      </c>
      <c r="B10" s="6">
        <v>4.1100000000000003</v>
      </c>
      <c r="C10" s="7">
        <f t="shared" ref="C10" si="9">C8</f>
        <v>1.35</v>
      </c>
      <c r="D10" s="8">
        <f t="shared" ref="D10" si="10">B10*C10</f>
        <v>5.5485000000000007</v>
      </c>
      <c r="E10" s="8" t="s">
        <v>44</v>
      </c>
      <c r="F10" s="47">
        <v>1.33</v>
      </c>
      <c r="G10" s="8">
        <f t="shared" si="0"/>
        <v>7.3795050000000009</v>
      </c>
      <c r="H10" s="8">
        <f t="shared" si="1"/>
        <v>1.8310050000000002</v>
      </c>
      <c r="I10" s="9">
        <v>42702</v>
      </c>
      <c r="K10" s="55" t="s">
        <v>43</v>
      </c>
      <c r="L10" s="49" t="s">
        <v>127</v>
      </c>
      <c r="M10" s="51">
        <v>0.25</v>
      </c>
    </row>
    <row r="11" spans="1:13" ht="15.75" x14ac:dyDescent="0.25">
      <c r="A11" s="5" t="s">
        <v>158</v>
      </c>
      <c r="B11" s="6">
        <v>3.36</v>
      </c>
      <c r="C11" s="7">
        <f t="shared" ref="C11" si="11">C8</f>
        <v>1.35</v>
      </c>
      <c r="D11" s="8">
        <f t="shared" si="2"/>
        <v>4.5360000000000005</v>
      </c>
      <c r="E11" s="8" t="s">
        <v>44</v>
      </c>
      <c r="F11" s="47">
        <v>1.33</v>
      </c>
      <c r="G11" s="8">
        <f t="shared" ref="G11:G12" si="12">D11*F11</f>
        <v>6.0328800000000014</v>
      </c>
      <c r="H11" s="8">
        <f t="shared" ref="H11:H12" si="13">G11-D11</f>
        <v>1.4968800000000009</v>
      </c>
      <c r="I11" s="9">
        <v>42646</v>
      </c>
      <c r="K11" s="55" t="s">
        <v>123</v>
      </c>
      <c r="L11" s="49" t="s">
        <v>127</v>
      </c>
      <c r="M11" s="51">
        <v>0.34</v>
      </c>
    </row>
    <row r="12" spans="1:13" ht="16.5" thickBot="1" x14ac:dyDescent="0.3">
      <c r="A12" s="10" t="s">
        <v>159</v>
      </c>
      <c r="B12" s="102">
        <v>4.1100000000000003</v>
      </c>
      <c r="C12" s="11">
        <f t="shared" ref="C12" si="14">C11</f>
        <v>1.35</v>
      </c>
      <c r="D12" s="12">
        <f t="shared" si="2"/>
        <v>5.5485000000000007</v>
      </c>
      <c r="E12" s="12" t="s">
        <v>45</v>
      </c>
      <c r="F12" s="48">
        <v>1.33</v>
      </c>
      <c r="G12" s="12">
        <f t="shared" si="12"/>
        <v>7.3795050000000009</v>
      </c>
      <c r="H12" s="12">
        <f t="shared" si="13"/>
        <v>1.8310050000000002</v>
      </c>
      <c r="I12" s="13">
        <v>42646</v>
      </c>
      <c r="K12" s="56" t="s">
        <v>4</v>
      </c>
      <c r="L12" s="18" t="s">
        <v>127</v>
      </c>
      <c r="M12" s="52">
        <v>0.34</v>
      </c>
    </row>
    <row r="13" spans="1:13" ht="15.75" thickBot="1" x14ac:dyDescent="0.3">
      <c r="H13" s="14"/>
    </row>
    <row r="14" spans="1:13" ht="15.75" x14ac:dyDescent="0.25">
      <c r="A14" s="1" t="s">
        <v>17</v>
      </c>
      <c r="B14" s="15"/>
      <c r="C14" s="15"/>
      <c r="D14" s="3"/>
      <c r="E14" s="3"/>
      <c r="F14" s="15"/>
      <c r="G14" s="15"/>
      <c r="H14" s="15"/>
      <c r="I14" s="16"/>
      <c r="K14" s="108" t="s">
        <v>164</v>
      </c>
      <c r="L14" s="109">
        <v>1.33</v>
      </c>
    </row>
    <row r="15" spans="1:13" ht="16.5" thickBot="1" x14ac:dyDescent="0.3">
      <c r="A15" s="5" t="s">
        <v>65</v>
      </c>
      <c r="B15" s="17" t="s">
        <v>15</v>
      </c>
      <c r="C15" s="17" t="s">
        <v>15</v>
      </c>
      <c r="D15" s="8">
        <v>30</v>
      </c>
      <c r="E15" s="8" t="s">
        <v>72</v>
      </c>
      <c r="F15" s="47">
        <v>1.33</v>
      </c>
      <c r="G15" s="8">
        <f t="shared" ref="G15:G20" si="15">D15*F15</f>
        <v>39.900000000000006</v>
      </c>
      <c r="H15" s="8">
        <f>G15-D15</f>
        <v>9.9000000000000057</v>
      </c>
      <c r="I15" s="9">
        <v>42646</v>
      </c>
      <c r="K15" s="56" t="s">
        <v>165</v>
      </c>
      <c r="L15" s="110">
        <v>1.5</v>
      </c>
    </row>
    <row r="16" spans="1:13" ht="16.5" thickBot="1" x14ac:dyDescent="0.3">
      <c r="A16" s="5" t="s">
        <v>66</v>
      </c>
      <c r="B16" s="17" t="s">
        <v>15</v>
      </c>
      <c r="C16" s="17" t="s">
        <v>15</v>
      </c>
      <c r="D16" s="8">
        <v>20</v>
      </c>
      <c r="E16" s="8" t="s">
        <v>72</v>
      </c>
      <c r="F16" s="47">
        <v>1.33</v>
      </c>
      <c r="G16" s="8">
        <f t="shared" si="15"/>
        <v>26.6</v>
      </c>
      <c r="H16" s="8">
        <f t="shared" ref="H16:H20" si="16">G16-D16</f>
        <v>6.6000000000000014</v>
      </c>
      <c r="I16" s="9">
        <v>42646</v>
      </c>
    </row>
    <row r="17" spans="1:13" ht="15.75" x14ac:dyDescent="0.25">
      <c r="A17" s="5" t="s">
        <v>67</v>
      </c>
      <c r="B17" s="17" t="s">
        <v>15</v>
      </c>
      <c r="C17" s="17" t="s">
        <v>15</v>
      </c>
      <c r="D17" s="8">
        <v>0.52</v>
      </c>
      <c r="E17" s="8" t="s">
        <v>73</v>
      </c>
      <c r="F17" s="47">
        <v>1.33</v>
      </c>
      <c r="G17" s="8">
        <f t="shared" si="15"/>
        <v>0.6916000000000001</v>
      </c>
      <c r="H17" s="8">
        <f t="shared" si="16"/>
        <v>0.17160000000000009</v>
      </c>
      <c r="I17" s="9">
        <v>42646</v>
      </c>
      <c r="K17" s="209" t="s">
        <v>180</v>
      </c>
      <c r="L17" s="210"/>
      <c r="M17" s="211"/>
    </row>
    <row r="18" spans="1:13" ht="18.75" x14ac:dyDescent="0.3">
      <c r="A18" s="5" t="s">
        <v>68</v>
      </c>
      <c r="B18" s="17" t="s">
        <v>15</v>
      </c>
      <c r="C18" s="17" t="s">
        <v>15</v>
      </c>
      <c r="D18" s="8">
        <v>165</v>
      </c>
      <c r="E18" s="8" t="s">
        <v>74</v>
      </c>
      <c r="F18" s="47">
        <v>1.33</v>
      </c>
      <c r="G18" s="8">
        <f t="shared" si="15"/>
        <v>219.45000000000002</v>
      </c>
      <c r="H18" s="8">
        <f t="shared" si="16"/>
        <v>54.450000000000017</v>
      </c>
      <c r="I18" s="9">
        <v>42646</v>
      </c>
      <c r="K18" s="172"/>
      <c r="L18" s="173" t="s">
        <v>181</v>
      </c>
      <c r="M18" s="174" t="s">
        <v>182</v>
      </c>
    </row>
    <row r="19" spans="1:13" ht="15.75" x14ac:dyDescent="0.25">
      <c r="A19" s="5" t="s">
        <v>69</v>
      </c>
      <c r="B19" s="17" t="s">
        <v>15</v>
      </c>
      <c r="C19" s="17" t="s">
        <v>15</v>
      </c>
      <c r="D19" s="8">
        <v>200</v>
      </c>
      <c r="E19" s="8" t="s">
        <v>47</v>
      </c>
      <c r="F19" s="47">
        <v>1.33</v>
      </c>
      <c r="G19" s="8">
        <f t="shared" si="15"/>
        <v>266</v>
      </c>
      <c r="H19" s="8">
        <f t="shared" si="16"/>
        <v>66</v>
      </c>
      <c r="I19" s="9">
        <v>42646</v>
      </c>
      <c r="K19" s="175" t="s">
        <v>183</v>
      </c>
      <c r="L19" s="176">
        <v>9.5000000000000001E-2</v>
      </c>
      <c r="M19" s="177">
        <v>0.105</v>
      </c>
    </row>
    <row r="20" spans="1:13" ht="16.5" thickBot="1" x14ac:dyDescent="0.3">
      <c r="A20" s="5" t="s">
        <v>70</v>
      </c>
      <c r="B20" s="17" t="s">
        <v>15</v>
      </c>
      <c r="C20" s="17" t="s">
        <v>15</v>
      </c>
      <c r="D20" s="8">
        <v>100</v>
      </c>
      <c r="E20" s="8" t="s">
        <v>47</v>
      </c>
      <c r="F20" s="47">
        <v>1.33</v>
      </c>
      <c r="G20" s="8">
        <f t="shared" si="15"/>
        <v>133</v>
      </c>
      <c r="H20" s="8">
        <f t="shared" si="16"/>
        <v>33</v>
      </c>
      <c r="I20" s="9">
        <v>42646</v>
      </c>
      <c r="K20" s="178" t="s">
        <v>184</v>
      </c>
      <c r="L20" s="179">
        <v>4.4999999999999998E-2</v>
      </c>
      <c r="M20" s="180">
        <v>5.5E-2</v>
      </c>
    </row>
    <row r="21" spans="1:13" ht="15.75" x14ac:dyDescent="0.25">
      <c r="A21" s="61" t="s">
        <v>132</v>
      </c>
      <c r="B21" s="62" t="s">
        <v>15</v>
      </c>
      <c r="C21" s="62" t="s">
        <v>15</v>
      </c>
      <c r="D21" s="63">
        <v>190</v>
      </c>
      <c r="E21" s="63" t="s">
        <v>110</v>
      </c>
      <c r="F21" s="47">
        <v>1.33</v>
      </c>
      <c r="G21" s="8">
        <f t="shared" ref="G21" si="17">D21*F21</f>
        <v>252.70000000000002</v>
      </c>
      <c r="H21" s="8">
        <f t="shared" ref="H21" si="18">G21-D21</f>
        <v>62.700000000000017</v>
      </c>
      <c r="I21" s="9">
        <v>42646</v>
      </c>
      <c r="K21" s="20"/>
      <c r="L21" s="181"/>
      <c r="M21" s="181"/>
    </row>
    <row r="22" spans="1:13" ht="15.75" x14ac:dyDescent="0.25">
      <c r="A22" s="64" t="s">
        <v>4</v>
      </c>
      <c r="B22" s="62" t="s">
        <v>15</v>
      </c>
      <c r="C22" s="62" t="s">
        <v>15</v>
      </c>
      <c r="D22" s="8">
        <v>0</v>
      </c>
      <c r="E22" s="8" t="s">
        <v>45</v>
      </c>
      <c r="F22" s="101">
        <v>1</v>
      </c>
      <c r="G22" s="8"/>
      <c r="H22" s="8"/>
      <c r="I22" s="9">
        <v>42646</v>
      </c>
      <c r="K22" s="20"/>
      <c r="L22" s="181"/>
      <c r="M22" s="181"/>
    </row>
    <row r="23" spans="1:13" ht="15.75" x14ac:dyDescent="0.25">
      <c r="A23" s="206"/>
      <c r="B23" s="207"/>
      <c r="C23" s="207"/>
      <c r="D23" s="207"/>
      <c r="E23" s="207"/>
      <c r="F23" s="207"/>
      <c r="G23" s="207"/>
      <c r="H23" s="207"/>
      <c r="I23" s="208"/>
    </row>
    <row r="24" spans="1:13" ht="15.75" x14ac:dyDescent="0.25">
      <c r="A24" s="5" t="s">
        <v>10</v>
      </c>
      <c r="B24" s="17" t="s">
        <v>15</v>
      </c>
      <c r="C24" s="17" t="s">
        <v>15</v>
      </c>
      <c r="D24" s="8"/>
      <c r="E24" s="8"/>
      <c r="F24" s="47">
        <v>1</v>
      </c>
      <c r="G24" s="8">
        <f t="shared" ref="G24:G28" si="19">D24*F24</f>
        <v>0</v>
      </c>
      <c r="H24" s="8">
        <f t="shared" ref="H24:H28" si="20">G24-D24</f>
        <v>0</v>
      </c>
      <c r="I24" s="9"/>
    </row>
    <row r="25" spans="1:13" ht="15.75" x14ac:dyDescent="0.25">
      <c r="A25" s="5" t="s">
        <v>11</v>
      </c>
      <c r="B25" s="17" t="s">
        <v>15</v>
      </c>
      <c r="C25" s="17" t="s">
        <v>15</v>
      </c>
      <c r="D25" s="8"/>
      <c r="E25" s="8"/>
      <c r="F25" s="47">
        <v>1</v>
      </c>
      <c r="G25" s="8">
        <f t="shared" si="19"/>
        <v>0</v>
      </c>
      <c r="H25" s="8">
        <f t="shared" si="20"/>
        <v>0</v>
      </c>
      <c r="I25" s="9"/>
    </row>
    <row r="26" spans="1:13" ht="15.75" x14ac:dyDescent="0.25">
      <c r="A26" s="5" t="s">
        <v>12</v>
      </c>
      <c r="B26" s="17" t="s">
        <v>15</v>
      </c>
      <c r="C26" s="17" t="s">
        <v>15</v>
      </c>
      <c r="D26" s="8"/>
      <c r="E26" s="8"/>
      <c r="F26" s="47">
        <v>1</v>
      </c>
      <c r="G26" s="8">
        <f t="shared" si="19"/>
        <v>0</v>
      </c>
      <c r="H26" s="8">
        <f t="shared" si="20"/>
        <v>0</v>
      </c>
      <c r="I26" s="9"/>
    </row>
    <row r="27" spans="1:13" ht="15.75" x14ac:dyDescent="0.25">
      <c r="A27" s="5" t="s">
        <v>13</v>
      </c>
      <c r="B27" s="17" t="s">
        <v>15</v>
      </c>
      <c r="C27" s="17" t="s">
        <v>15</v>
      </c>
      <c r="D27" s="8"/>
      <c r="E27" s="8"/>
      <c r="F27" s="47">
        <v>1</v>
      </c>
      <c r="G27" s="8">
        <f t="shared" si="19"/>
        <v>0</v>
      </c>
      <c r="H27" s="8">
        <f t="shared" si="20"/>
        <v>0</v>
      </c>
      <c r="I27" s="9"/>
    </row>
    <row r="28" spans="1:13" ht="16.5" hidden="1" thickBot="1" x14ac:dyDescent="0.3">
      <c r="A28" s="10" t="s">
        <v>14</v>
      </c>
      <c r="B28" s="18" t="s">
        <v>15</v>
      </c>
      <c r="C28" s="18" t="s">
        <v>15</v>
      </c>
      <c r="D28" s="12"/>
      <c r="E28" s="12"/>
      <c r="F28" s="48">
        <v>1</v>
      </c>
      <c r="G28" s="12">
        <f t="shared" si="19"/>
        <v>0</v>
      </c>
      <c r="H28" s="12">
        <f t="shared" si="20"/>
        <v>0</v>
      </c>
      <c r="I28" s="13"/>
    </row>
    <row r="29" spans="1:13" hidden="1" x14ac:dyDescent="0.25">
      <c r="H29" s="14"/>
    </row>
    <row r="30" spans="1:13" ht="15.75" hidden="1" x14ac:dyDescent="0.25">
      <c r="A30" s="1" t="s">
        <v>18</v>
      </c>
      <c r="B30" s="15"/>
      <c r="C30" s="15"/>
      <c r="D30" s="15"/>
      <c r="E30" s="15"/>
      <c r="F30" s="15"/>
      <c r="G30" s="15"/>
      <c r="H30" s="19"/>
      <c r="I30" s="16"/>
    </row>
    <row r="31" spans="1:13" ht="15.75" x14ac:dyDescent="0.25">
      <c r="A31" s="5" t="s">
        <v>19</v>
      </c>
      <c r="B31" s="17" t="s">
        <v>15</v>
      </c>
      <c r="C31" s="17" t="s">
        <v>15</v>
      </c>
      <c r="D31" s="8"/>
      <c r="E31" s="8"/>
      <c r="F31" s="47">
        <v>1</v>
      </c>
      <c r="G31" s="8">
        <f t="shared" ref="G31:G32" si="21">D31*F31</f>
        <v>0</v>
      </c>
      <c r="H31" s="8">
        <f t="shared" ref="H31:H32" si="22">G31-D31</f>
        <v>0</v>
      </c>
      <c r="I31" s="9"/>
    </row>
    <row r="32" spans="1:13" ht="15.75" x14ac:dyDescent="0.25">
      <c r="A32" s="5" t="s">
        <v>20</v>
      </c>
      <c r="B32" s="17" t="s">
        <v>15</v>
      </c>
      <c r="C32" s="17" t="s">
        <v>15</v>
      </c>
      <c r="D32" s="8"/>
      <c r="E32" s="8"/>
      <c r="F32" s="47">
        <v>1</v>
      </c>
      <c r="G32" s="8">
        <f t="shared" si="21"/>
        <v>0</v>
      </c>
      <c r="H32" s="8">
        <f t="shared" si="22"/>
        <v>0</v>
      </c>
      <c r="I32" s="9"/>
    </row>
    <row r="33" spans="1:9" ht="16.5" thickBot="1" x14ac:dyDescent="0.3">
      <c r="A33" s="10" t="s">
        <v>21</v>
      </c>
      <c r="B33" s="18" t="s">
        <v>15</v>
      </c>
      <c r="C33" s="18" t="s">
        <v>15</v>
      </c>
      <c r="D33" s="12">
        <v>200</v>
      </c>
      <c r="E33" s="12"/>
      <c r="F33" s="48">
        <v>1</v>
      </c>
      <c r="G33" s="12">
        <f>D33*F33</f>
        <v>200</v>
      </c>
      <c r="H33" s="12">
        <f>G33-D33</f>
        <v>0</v>
      </c>
      <c r="I33" s="13">
        <v>42622</v>
      </c>
    </row>
    <row r="34" spans="1:9" ht="15.75" thickBot="1" x14ac:dyDescent="0.3">
      <c r="A34" s="20"/>
      <c r="B34" s="20"/>
      <c r="C34" s="20"/>
      <c r="D34" s="20"/>
      <c r="E34" s="20"/>
      <c r="F34" s="20"/>
      <c r="G34" s="20"/>
      <c r="H34" s="21"/>
      <c r="I34" s="20"/>
    </row>
    <row r="35" spans="1:9" ht="15.75" x14ac:dyDescent="0.25">
      <c r="A35" s="1" t="s">
        <v>22</v>
      </c>
      <c r="B35" s="15"/>
      <c r="C35" s="15"/>
      <c r="D35" s="15"/>
      <c r="E35" s="15"/>
      <c r="F35" s="15"/>
      <c r="G35" s="15"/>
      <c r="H35" s="19"/>
      <c r="I35" s="16"/>
    </row>
    <row r="36" spans="1:9" ht="15.75" x14ac:dyDescent="0.25">
      <c r="A36" s="5" t="s">
        <v>84</v>
      </c>
      <c r="B36" s="17" t="s">
        <v>15</v>
      </c>
      <c r="C36" s="17" t="s">
        <v>15</v>
      </c>
      <c r="D36" s="8">
        <v>25</v>
      </c>
      <c r="E36" s="8" t="s">
        <v>89</v>
      </c>
      <c r="F36" s="47">
        <v>1.33</v>
      </c>
      <c r="G36" s="8">
        <f t="shared" ref="G36:G44" si="23">D36*F36</f>
        <v>33.25</v>
      </c>
      <c r="H36" s="8">
        <f t="shared" ref="H36:H44" si="24">G36-D36</f>
        <v>8.25</v>
      </c>
      <c r="I36" s="9">
        <v>42634</v>
      </c>
    </row>
    <row r="37" spans="1:9" ht="15.75" x14ac:dyDescent="0.25">
      <c r="A37" s="5" t="s">
        <v>85</v>
      </c>
      <c r="B37" s="17" t="s">
        <v>15</v>
      </c>
      <c r="C37" s="17" t="s">
        <v>15</v>
      </c>
      <c r="D37" s="8">
        <v>80</v>
      </c>
      <c r="E37" s="8" t="s">
        <v>89</v>
      </c>
      <c r="F37" s="47">
        <v>1.33</v>
      </c>
      <c r="G37" s="8">
        <f t="shared" si="23"/>
        <v>106.4</v>
      </c>
      <c r="H37" s="8">
        <f t="shared" si="24"/>
        <v>26.400000000000006</v>
      </c>
      <c r="I37" s="9">
        <v>42634</v>
      </c>
    </row>
    <row r="38" spans="1:9" ht="15.75" x14ac:dyDescent="0.25">
      <c r="A38" s="5" t="s">
        <v>86</v>
      </c>
      <c r="B38" s="17" t="s">
        <v>15</v>
      </c>
      <c r="C38" s="17" t="s">
        <v>15</v>
      </c>
      <c r="D38" s="8">
        <v>30</v>
      </c>
      <c r="E38" s="8" t="s">
        <v>89</v>
      </c>
      <c r="F38" s="47">
        <v>1.33</v>
      </c>
      <c r="G38" s="8">
        <f t="shared" si="23"/>
        <v>39.900000000000006</v>
      </c>
      <c r="H38" s="8">
        <f t="shared" si="24"/>
        <v>9.9000000000000057</v>
      </c>
      <c r="I38" s="9">
        <v>42634</v>
      </c>
    </row>
    <row r="39" spans="1:9" ht="15.75" x14ac:dyDescent="0.25">
      <c r="A39" s="5" t="s">
        <v>90</v>
      </c>
      <c r="B39" s="17" t="s">
        <v>15</v>
      </c>
      <c r="C39" s="17" t="s">
        <v>15</v>
      </c>
      <c r="D39" s="8">
        <v>30</v>
      </c>
      <c r="E39" s="8" t="s">
        <v>89</v>
      </c>
      <c r="F39" s="47">
        <v>1.33</v>
      </c>
      <c r="G39" s="8">
        <f t="shared" si="23"/>
        <v>39.900000000000006</v>
      </c>
      <c r="H39" s="8">
        <f t="shared" si="24"/>
        <v>9.9000000000000057</v>
      </c>
      <c r="I39" s="9">
        <v>42634</v>
      </c>
    </row>
    <row r="40" spans="1:9" ht="15.75" x14ac:dyDescent="0.25">
      <c r="A40" s="5" t="s">
        <v>114</v>
      </c>
      <c r="B40" s="17" t="s">
        <v>15</v>
      </c>
      <c r="C40" s="17" t="s">
        <v>15</v>
      </c>
      <c r="D40" s="8">
        <v>2</v>
      </c>
      <c r="E40" s="8" t="s">
        <v>89</v>
      </c>
      <c r="F40" s="47">
        <v>1.33</v>
      </c>
      <c r="G40" s="8">
        <f t="shared" si="23"/>
        <v>2.66</v>
      </c>
      <c r="H40" s="8">
        <f t="shared" si="24"/>
        <v>0.66000000000000014</v>
      </c>
      <c r="I40" s="9">
        <v>42634</v>
      </c>
    </row>
    <row r="41" spans="1:9" ht="15.75" x14ac:dyDescent="0.25">
      <c r="A41" s="5" t="s">
        <v>115</v>
      </c>
      <c r="B41" s="17" t="s">
        <v>15</v>
      </c>
      <c r="C41" s="17" t="s">
        <v>15</v>
      </c>
      <c r="D41" s="8">
        <v>13</v>
      </c>
      <c r="E41" s="8" t="s">
        <v>45</v>
      </c>
      <c r="F41" s="47">
        <v>1.33</v>
      </c>
      <c r="G41" s="8">
        <f t="shared" si="23"/>
        <v>17.29</v>
      </c>
      <c r="H41" s="8">
        <f t="shared" si="24"/>
        <v>4.2899999999999991</v>
      </c>
      <c r="I41" s="9">
        <v>42634</v>
      </c>
    </row>
    <row r="42" spans="1:9" ht="15.75" x14ac:dyDescent="0.25">
      <c r="A42" s="5" t="s">
        <v>111</v>
      </c>
      <c r="B42" s="17" t="s">
        <v>15</v>
      </c>
      <c r="C42" s="17" t="s">
        <v>15</v>
      </c>
      <c r="D42" s="8">
        <v>0.7</v>
      </c>
      <c r="E42" s="8" t="s">
        <v>45</v>
      </c>
      <c r="F42" s="47">
        <v>1.33</v>
      </c>
      <c r="G42" s="8">
        <f t="shared" ref="G42" si="25">D42*F42</f>
        <v>0.93099999999999994</v>
      </c>
      <c r="H42" s="8">
        <f t="shared" ref="H42" si="26">G42-D42</f>
        <v>0.23099999999999998</v>
      </c>
      <c r="I42" s="9">
        <v>42634</v>
      </c>
    </row>
    <row r="43" spans="1:9" ht="15.75" x14ac:dyDescent="0.25">
      <c r="A43" s="5" t="s">
        <v>87</v>
      </c>
      <c r="B43" s="17" t="s">
        <v>15</v>
      </c>
      <c r="C43" s="17" t="s">
        <v>15</v>
      </c>
      <c r="D43" s="8">
        <v>4600</v>
      </c>
      <c r="E43" s="8" t="s">
        <v>109</v>
      </c>
      <c r="F43" s="47">
        <v>1.33</v>
      </c>
      <c r="G43" s="8">
        <f t="shared" si="23"/>
        <v>6118</v>
      </c>
      <c r="H43" s="8">
        <f t="shared" si="24"/>
        <v>1518</v>
      </c>
      <c r="I43" s="9">
        <v>42634</v>
      </c>
    </row>
    <row r="44" spans="1:9" ht="15.75" x14ac:dyDescent="0.25">
      <c r="A44" s="5" t="s">
        <v>88</v>
      </c>
      <c r="B44" s="17" t="s">
        <v>15</v>
      </c>
      <c r="C44" s="17" t="s">
        <v>15</v>
      </c>
      <c r="D44" s="8">
        <v>3950</v>
      </c>
      <c r="E44" s="8" t="s">
        <v>109</v>
      </c>
      <c r="F44" s="47">
        <v>1.33</v>
      </c>
      <c r="G44" s="8">
        <f t="shared" si="23"/>
        <v>5253.5</v>
      </c>
      <c r="H44" s="8">
        <f t="shared" si="24"/>
        <v>1303.5</v>
      </c>
      <c r="I44" s="9">
        <v>42634</v>
      </c>
    </row>
    <row r="45" spans="1:9" ht="15.75" x14ac:dyDescent="0.25">
      <c r="A45" s="206"/>
      <c r="B45" s="207"/>
      <c r="C45" s="207"/>
      <c r="D45" s="207"/>
      <c r="E45" s="207"/>
      <c r="F45" s="207"/>
      <c r="G45" s="207"/>
      <c r="H45" s="207"/>
      <c r="I45" s="208"/>
    </row>
    <row r="46" spans="1:9" ht="15.75" x14ac:dyDescent="0.25">
      <c r="A46" s="5" t="s">
        <v>23</v>
      </c>
      <c r="B46" s="17" t="s">
        <v>15</v>
      </c>
      <c r="C46" s="17" t="s">
        <v>15</v>
      </c>
      <c r="D46" s="8">
        <v>300</v>
      </c>
      <c r="E46" s="8" t="s">
        <v>47</v>
      </c>
      <c r="F46" s="47">
        <v>1.33</v>
      </c>
      <c r="G46" s="8">
        <f>D46*F46</f>
        <v>399</v>
      </c>
      <c r="H46" s="8">
        <f>G46-D46</f>
        <v>99</v>
      </c>
      <c r="I46" s="9">
        <v>42622</v>
      </c>
    </row>
    <row r="47" spans="1:9" ht="16.5" thickBot="1" x14ac:dyDescent="0.3">
      <c r="A47" s="10" t="s">
        <v>24</v>
      </c>
      <c r="B47" s="18" t="s">
        <v>15</v>
      </c>
      <c r="C47" s="18" t="s">
        <v>15</v>
      </c>
      <c r="D47" s="12">
        <v>300</v>
      </c>
      <c r="E47" s="12" t="s">
        <v>47</v>
      </c>
      <c r="F47" s="48">
        <v>1.33</v>
      </c>
      <c r="G47" s="12">
        <f>D47*F47</f>
        <v>399</v>
      </c>
      <c r="H47" s="12">
        <f>G47-D47</f>
        <v>99</v>
      </c>
      <c r="I47" s="13">
        <v>42622</v>
      </c>
    </row>
    <row r="48" spans="1:9" ht="15.75" thickBot="1" x14ac:dyDescent="0.3"/>
    <row r="49" spans="1:9" ht="15.75" x14ac:dyDescent="0.25">
      <c r="A49" s="1" t="s">
        <v>9</v>
      </c>
      <c r="B49" s="44" t="s">
        <v>78</v>
      </c>
      <c r="C49" s="44" t="s">
        <v>79</v>
      </c>
      <c r="D49" s="45" t="s">
        <v>80</v>
      </c>
      <c r="E49" s="45" t="s">
        <v>81</v>
      </c>
      <c r="F49" s="42"/>
      <c r="G49" s="19"/>
      <c r="H49" s="19"/>
      <c r="I49" s="43"/>
    </row>
    <row r="50" spans="1:9" ht="15.75" x14ac:dyDescent="0.25">
      <c r="A50" s="5" t="s">
        <v>75</v>
      </c>
      <c r="B50" s="8">
        <v>110</v>
      </c>
      <c r="C50" s="8">
        <v>330</v>
      </c>
      <c r="D50" s="8">
        <v>990</v>
      </c>
      <c r="E50" s="8">
        <v>125</v>
      </c>
      <c r="F50" s="47">
        <v>1.33</v>
      </c>
      <c r="G50" s="8"/>
      <c r="H50" s="8"/>
      <c r="I50" s="9">
        <v>42634</v>
      </c>
    </row>
    <row r="51" spans="1:9" ht="15.75" x14ac:dyDescent="0.25">
      <c r="A51" s="5" t="s">
        <v>76</v>
      </c>
      <c r="B51" s="8">
        <v>120</v>
      </c>
      <c r="C51" s="8">
        <v>360</v>
      </c>
      <c r="D51" s="8">
        <v>1080</v>
      </c>
      <c r="E51" s="8">
        <v>125</v>
      </c>
      <c r="F51" s="47">
        <v>1.33</v>
      </c>
      <c r="G51" s="8"/>
      <c r="H51" s="8"/>
      <c r="I51" s="9">
        <v>42634</v>
      </c>
    </row>
    <row r="52" spans="1:9" ht="16.5" thickBot="1" x14ac:dyDescent="0.3">
      <c r="A52" s="10" t="s">
        <v>77</v>
      </c>
      <c r="B52" s="12">
        <v>120</v>
      </c>
      <c r="C52" s="12">
        <v>360</v>
      </c>
      <c r="D52" s="12">
        <v>1080</v>
      </c>
      <c r="E52" s="12">
        <v>125</v>
      </c>
      <c r="F52" s="48">
        <v>1.33</v>
      </c>
      <c r="G52" s="12"/>
      <c r="H52" s="12"/>
      <c r="I52" s="13">
        <v>42634</v>
      </c>
    </row>
  </sheetData>
  <mergeCells count="3">
    <mergeCell ref="A23:I23"/>
    <mergeCell ref="A45:I45"/>
    <mergeCell ref="K17:M17"/>
  </mergeCells>
  <pageMargins left="0.7" right="0.7" top="0.75" bottom="0.75" header="0.3" footer="0.3"/>
  <pageSetup scale="84"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71"/>
  <sheetViews>
    <sheetView tabSelected="1" zoomScale="90" zoomScaleNormal="90" workbookViewId="0"/>
  </sheetViews>
  <sheetFormatPr defaultRowHeight="15" x14ac:dyDescent="0.25"/>
  <cols>
    <col min="1" max="1" width="47.28515625" style="2" bestFit="1" customWidth="1"/>
    <col min="2" max="3" width="21.5703125" style="2" customWidth="1"/>
    <col min="4" max="4" width="15" style="2" bestFit="1" customWidth="1"/>
    <col min="5" max="5" width="11.42578125" style="2" customWidth="1"/>
    <col min="6" max="6" width="19.28515625" style="2" customWidth="1"/>
    <col min="7" max="7" width="17.42578125" style="2" customWidth="1"/>
    <col min="8" max="8" width="14.140625" style="2" customWidth="1"/>
    <col min="9" max="9" width="9.7109375" style="2" customWidth="1"/>
    <col min="10" max="12" width="17.140625" style="2" customWidth="1"/>
    <col min="13" max="13" width="11.42578125" style="2" customWidth="1"/>
    <col min="14" max="14" width="9.140625" style="2"/>
    <col min="15" max="15" width="28.5703125" style="2" bestFit="1" customWidth="1"/>
    <col min="16" max="16" width="11.42578125" style="2" bestFit="1" customWidth="1"/>
    <col min="17" max="17" width="22" style="2" customWidth="1"/>
    <col min="18" max="18" width="27" style="2" customWidth="1"/>
    <col min="19" max="21" width="21.42578125" style="2" customWidth="1"/>
    <col min="22" max="22" width="17.140625" style="2" customWidth="1"/>
    <col min="23" max="23" width="28.28515625" style="2" bestFit="1" customWidth="1"/>
    <col min="24" max="24" width="31.7109375" style="2" bestFit="1" customWidth="1"/>
    <col min="25" max="25" width="29.28515625" style="2" customWidth="1"/>
    <col min="26" max="26" width="12" style="2" customWidth="1"/>
    <col min="27" max="27" width="13.140625" style="2" customWidth="1"/>
    <col min="28" max="28" width="10.28515625" style="2" bestFit="1" customWidth="1"/>
    <col min="29" max="29" width="12.85546875" style="2" customWidth="1"/>
    <col min="30" max="30" width="14" style="2" customWidth="1"/>
    <col min="31" max="31" width="16.7109375" style="2" customWidth="1"/>
    <col min="32" max="32" width="20.42578125" style="2" customWidth="1"/>
    <col min="33" max="16384" width="9.140625" style="2"/>
  </cols>
  <sheetData>
    <row r="1" spans="1:25" ht="33.75" x14ac:dyDescent="0.5">
      <c r="A1" s="65" t="s">
        <v>131</v>
      </c>
    </row>
    <row r="2" spans="1:25" ht="15.75" thickBot="1" x14ac:dyDescent="0.3">
      <c r="B2" s="70" t="s">
        <v>26</v>
      </c>
      <c r="C2" s="203">
        <v>1.35</v>
      </c>
      <c r="D2" s="71">
        <v>42664.667488425926</v>
      </c>
    </row>
    <row r="3" spans="1:25" ht="22.5" thickTop="1" thickBot="1" x14ac:dyDescent="0.4">
      <c r="A3" s="82" t="s">
        <v>27</v>
      </c>
      <c r="B3" s="82" t="s">
        <v>64</v>
      </c>
      <c r="C3" s="83" t="s">
        <v>82</v>
      </c>
      <c r="R3" s="154"/>
      <c r="S3" s="155" t="s">
        <v>188</v>
      </c>
      <c r="T3" s="156" t="s">
        <v>177</v>
      </c>
      <c r="U3" s="157" t="s">
        <v>175</v>
      </c>
      <c r="X3" s="22" t="s">
        <v>49</v>
      </c>
      <c r="Y3" s="23"/>
    </row>
    <row r="4" spans="1:25" ht="18.75" x14ac:dyDescent="0.3">
      <c r="A4" s="86" t="s">
        <v>28</v>
      </c>
      <c r="B4" s="44" t="s">
        <v>29</v>
      </c>
      <c r="C4" s="44" t="s">
        <v>30</v>
      </c>
      <c r="D4" s="44" t="s">
        <v>31</v>
      </c>
      <c r="E4" s="44" t="s">
        <v>32</v>
      </c>
      <c r="F4" s="117" t="s">
        <v>33</v>
      </c>
      <c r="G4" s="117" t="s">
        <v>34</v>
      </c>
      <c r="H4" s="117" t="s">
        <v>35</v>
      </c>
      <c r="I4" s="44" t="s">
        <v>48</v>
      </c>
      <c r="J4" s="44" t="s">
        <v>36</v>
      </c>
      <c r="K4" s="44" t="s">
        <v>37</v>
      </c>
      <c r="L4" s="87" t="s">
        <v>38</v>
      </c>
      <c r="R4" s="158" t="s">
        <v>27</v>
      </c>
      <c r="S4" s="159">
        <f>IF(C3="Not included",0,SUM(H5:H6,H8:H14))</f>
        <v>0</v>
      </c>
      <c r="T4" s="160">
        <f>IF(C3="Not included",0,B15)</f>
        <v>0</v>
      </c>
      <c r="U4" s="148">
        <f>IF(T4=0,0,(T4-S4)/T4)</f>
        <v>0</v>
      </c>
      <c r="X4" s="67" t="s">
        <v>52</v>
      </c>
      <c r="Y4" s="169" t="str">
        <f>IF('Fixed Curtain Rep Copy'!B2="","",'Fixed Curtain Rep Copy'!B2)</f>
        <v/>
      </c>
    </row>
    <row r="5" spans="1:25" ht="15.75" x14ac:dyDescent="0.25">
      <c r="A5" s="88" t="s">
        <v>40</v>
      </c>
      <c r="B5" s="91"/>
      <c r="C5" s="91"/>
      <c r="D5" s="103">
        <f>Data!B5*Data!C5</f>
        <v>0</v>
      </c>
      <c r="E5" s="17" t="s">
        <v>44</v>
      </c>
      <c r="F5" s="121">
        <f>_xlfn.SWITCH(Data!$B3,"R-3",Reference!$D$2,"R-6",Reference!$D$3,"R-9",Reference!$D$4,"R-15",Reference!$D$5,Reference!$A$6,Reference!$D$6,Reference!$A$7,Reference!$D$7, "R-#",0)</f>
        <v>0</v>
      </c>
      <c r="G5" s="118">
        <f>F5</f>
        <v>0</v>
      </c>
      <c r="H5" s="118">
        <f>G5*D5</f>
        <v>0</v>
      </c>
      <c r="I5" s="8">
        <f>G5*Reference!$F$2</f>
        <v>0</v>
      </c>
      <c r="J5" s="104">
        <f>I5*D5</f>
        <v>0</v>
      </c>
      <c r="K5" s="132">
        <f>IF(J5=0,0,(J5-H5)/J5)</f>
        <v>0</v>
      </c>
      <c r="L5" s="135"/>
      <c r="R5" s="161" t="s">
        <v>133</v>
      </c>
      <c r="S5" s="162">
        <f>IF(C17="Not included",0,SUM(H19:H20,H22:H28))</f>
        <v>0</v>
      </c>
      <c r="T5" s="163">
        <f>IF(C17="Not included",0,B29)</f>
        <v>0</v>
      </c>
      <c r="U5" s="149">
        <f t="shared" ref="U5:U14" si="0">IF(T5=0,0,(T5-S5)/T5)</f>
        <v>0</v>
      </c>
      <c r="X5" s="67" t="s">
        <v>54</v>
      </c>
      <c r="Y5" s="169" t="str">
        <f>IF('Fixed Curtain Rep Copy'!B3="","",'Fixed Curtain Rep Copy'!B3)</f>
        <v/>
      </c>
    </row>
    <row r="6" spans="1:25" ht="15.75" x14ac:dyDescent="0.25">
      <c r="A6" s="88" t="s">
        <v>39</v>
      </c>
      <c r="B6" s="123"/>
      <c r="C6" s="123"/>
      <c r="D6" s="124">
        <f>Data!B6*Data!C6</f>
        <v>0</v>
      </c>
      <c r="E6" s="62" t="s">
        <v>44</v>
      </c>
      <c r="F6" s="125">
        <f>_xlfn.SWITCH(Data!$B3,"R-3",Reference!$D$11,"R-6",Reference!$D$12,"R-9",2*Reference!$D$11,"R-15",2*Reference!$D$12,Reference!$A$6,Reference!$D$9,Reference!$A$7,Reference!$D$10, "R-#",0)</f>
        <v>0</v>
      </c>
      <c r="G6" s="126">
        <f>F6</f>
        <v>0</v>
      </c>
      <c r="H6" s="126">
        <f>G6*D6</f>
        <v>0</v>
      </c>
      <c r="I6" s="63">
        <f>G6*Reference!$F$2</f>
        <v>0</v>
      </c>
      <c r="J6" s="127">
        <f>I6*D6</f>
        <v>0</v>
      </c>
      <c r="K6" s="133">
        <f>IF(J6=0,0,(J6-H6)/J6)</f>
        <v>0</v>
      </c>
      <c r="L6" s="136"/>
      <c r="R6" s="161" t="s">
        <v>134</v>
      </c>
      <c r="S6" s="162">
        <f>IF(C31="Not included",0,SUM(H33:H34,H36:H42))</f>
        <v>0</v>
      </c>
      <c r="T6" s="163">
        <f>IF(C31="Not included",0,B43)</f>
        <v>0</v>
      </c>
      <c r="U6" s="149">
        <f t="shared" si="0"/>
        <v>0</v>
      </c>
      <c r="X6" s="67" t="s">
        <v>55</v>
      </c>
      <c r="Y6" s="169" t="str">
        <f>IF('Fixed Curtain Rep Copy'!B4="","",'Fixed Curtain Rep Copy'!B4)</f>
        <v/>
      </c>
    </row>
    <row r="7" spans="1:25" ht="18.75" x14ac:dyDescent="0.3">
      <c r="A7" s="122" t="s">
        <v>22</v>
      </c>
      <c r="B7" s="115"/>
      <c r="C7" s="116"/>
      <c r="D7" s="116"/>
      <c r="E7" s="116"/>
      <c r="F7" s="119"/>
      <c r="G7" s="119"/>
      <c r="H7" s="119"/>
      <c r="I7" s="116"/>
      <c r="J7" s="116"/>
      <c r="K7" s="116"/>
      <c r="L7" s="136"/>
      <c r="R7" s="161" t="s">
        <v>135</v>
      </c>
      <c r="S7" s="162">
        <f>IF(C45="Not included",0,SUM(H47:H48,H50:H56))</f>
        <v>0</v>
      </c>
      <c r="T7" s="163">
        <f>IF(C45="Not included",0,B57)</f>
        <v>0</v>
      </c>
      <c r="U7" s="149">
        <f t="shared" si="0"/>
        <v>0</v>
      </c>
      <c r="X7" s="67" t="s">
        <v>56</v>
      </c>
      <c r="Y7" s="169" t="str">
        <f>IF('Fixed Curtain Rep Copy'!B5="","",'Fixed Curtain Rep Copy'!B5)</f>
        <v/>
      </c>
    </row>
    <row r="8" spans="1:25" ht="16.5" thickBot="1" x14ac:dyDescent="0.3">
      <c r="A8" s="88" t="s">
        <v>112</v>
      </c>
      <c r="B8" s="128" t="s">
        <v>47</v>
      </c>
      <c r="C8" s="128" t="s">
        <v>47</v>
      </c>
      <c r="D8" s="129"/>
      <c r="E8" s="128" t="s">
        <v>47</v>
      </c>
      <c r="F8" s="130" t="s">
        <v>47</v>
      </c>
      <c r="G8" s="130" t="s">
        <v>47</v>
      </c>
      <c r="H8" s="131">
        <v>0</v>
      </c>
      <c r="I8" s="128" t="s">
        <v>47</v>
      </c>
      <c r="J8" s="104">
        <f>H8*Reference!$L$14</f>
        <v>0</v>
      </c>
      <c r="K8" s="132">
        <f>IF(H8=0,0,(J8-H8)/J8)</f>
        <v>0</v>
      </c>
      <c r="L8" s="136"/>
      <c r="R8" s="161" t="s">
        <v>136</v>
      </c>
      <c r="S8" s="162">
        <f>IF(C59="Not included",0,SUM(H61:H62,H64:H70))</f>
        <v>0</v>
      </c>
      <c r="T8" s="163">
        <f>IF(C59="Not included",0,B71)</f>
        <v>0</v>
      </c>
      <c r="U8" s="149">
        <f t="shared" si="0"/>
        <v>0</v>
      </c>
      <c r="X8" s="68" t="s">
        <v>57</v>
      </c>
      <c r="Y8" s="169" t="str">
        <f>IF('Fixed Curtain Rep Copy'!B6="","",'Fixed Curtain Rep Copy'!B6)</f>
        <v/>
      </c>
    </row>
    <row r="9" spans="1:25" ht="21.75" thickBot="1" x14ac:dyDescent="0.4">
      <c r="A9" s="88" t="s">
        <v>42</v>
      </c>
      <c r="B9" s="17" t="s">
        <v>47</v>
      </c>
      <c r="C9" s="17" t="s">
        <v>47</v>
      </c>
      <c r="D9" s="91"/>
      <c r="E9" s="17" t="s">
        <v>47</v>
      </c>
      <c r="F9" s="113" t="s">
        <v>47</v>
      </c>
      <c r="G9" s="113" t="s">
        <v>47</v>
      </c>
      <c r="H9" s="46">
        <v>0</v>
      </c>
      <c r="I9" s="17" t="s">
        <v>47</v>
      </c>
      <c r="J9" s="104">
        <f>H9*Reference!$L$14</f>
        <v>0</v>
      </c>
      <c r="K9" s="132">
        <f>IF(H9=0,0,(J9-H9)/J9)</f>
        <v>0</v>
      </c>
      <c r="L9" s="136"/>
      <c r="R9" s="161" t="s">
        <v>146</v>
      </c>
      <c r="S9" s="164">
        <f>SUM(AA19:AA28)</f>
        <v>0</v>
      </c>
      <c r="T9" s="163">
        <f>X29</f>
        <v>0</v>
      </c>
      <c r="U9" s="149">
        <f t="shared" si="0"/>
        <v>0</v>
      </c>
      <c r="X9" s="66" t="s">
        <v>58</v>
      </c>
      <c r="Y9" s="30"/>
    </row>
    <row r="10" spans="1:25" ht="15.75" x14ac:dyDescent="0.25">
      <c r="A10" s="88" t="s">
        <v>41</v>
      </c>
      <c r="B10" s="17" t="s">
        <v>47</v>
      </c>
      <c r="C10" s="17" t="s">
        <v>47</v>
      </c>
      <c r="D10" s="103">
        <v>0</v>
      </c>
      <c r="E10" s="17" t="s">
        <v>45</v>
      </c>
      <c r="F10" s="118">
        <f>Reference!$D$8</f>
        <v>2.4975000000000005</v>
      </c>
      <c r="G10" s="118">
        <f>IF(OR(Data!$B3="R-9",Data!$B3="R-15"),2*Data!F10,Data!F10)</f>
        <v>2.4975000000000005</v>
      </c>
      <c r="H10" s="118">
        <f>G10*D10</f>
        <v>0</v>
      </c>
      <c r="I10" s="8">
        <f>G10*Reference!$F$2</f>
        <v>3.3216750000000008</v>
      </c>
      <c r="J10" s="104">
        <f>I10*D10</f>
        <v>0</v>
      </c>
      <c r="K10" s="132">
        <f>IF(J10=0,0,(J10-H10)/J10)</f>
        <v>0</v>
      </c>
      <c r="L10" s="136"/>
      <c r="R10" s="161" t="s">
        <v>174</v>
      </c>
      <c r="S10" s="164">
        <f>SUM(R53:R59)</f>
        <v>0</v>
      </c>
      <c r="T10" s="165">
        <f>P60</f>
        <v>0</v>
      </c>
      <c r="U10" s="149">
        <f t="shared" si="0"/>
        <v>0</v>
      </c>
      <c r="X10" s="69" t="s">
        <v>59</v>
      </c>
      <c r="Y10" s="31">
        <f>'Fixed Curtain Rep Copy'!B9</f>
        <v>0</v>
      </c>
    </row>
    <row r="11" spans="1:25" ht="16.5" thickBot="1" x14ac:dyDescent="0.3">
      <c r="A11" s="88" t="s">
        <v>113</v>
      </c>
      <c r="B11" s="17" t="s">
        <v>47</v>
      </c>
      <c r="C11" s="17" t="s">
        <v>47</v>
      </c>
      <c r="D11" s="200"/>
      <c r="E11" s="17" t="s">
        <v>72</v>
      </c>
      <c r="F11" s="113" t="s">
        <v>47</v>
      </c>
      <c r="G11" s="113" t="s">
        <v>47</v>
      </c>
      <c r="H11" s="46">
        <v>0</v>
      </c>
      <c r="I11" s="17" t="s">
        <v>47</v>
      </c>
      <c r="J11" s="104">
        <f>H11*Reference!$L$14</f>
        <v>0</v>
      </c>
      <c r="K11" s="132">
        <f>IF(H11=0,0,(J11-H11)/J11)</f>
        <v>0</v>
      </c>
      <c r="L11" s="136"/>
      <c r="R11" s="212" t="s">
        <v>178</v>
      </c>
      <c r="S11" s="213"/>
      <c r="T11" s="213"/>
      <c r="U11" s="214"/>
      <c r="X11" s="68" t="s">
        <v>60</v>
      </c>
      <c r="Y11" s="31">
        <f>'Fixed Curtain Rep Copy'!B8</f>
        <v>0</v>
      </c>
    </row>
    <row r="12" spans="1:25" ht="21.75" thickBot="1" x14ac:dyDescent="0.4">
      <c r="A12" s="88" t="s">
        <v>114</v>
      </c>
      <c r="B12" s="17" t="s">
        <v>47</v>
      </c>
      <c r="C12" s="17" t="s">
        <v>47</v>
      </c>
      <c r="D12" s="91"/>
      <c r="E12" s="17" t="s">
        <v>89</v>
      </c>
      <c r="F12" s="118">
        <f>Reference!$D$40</f>
        <v>2</v>
      </c>
      <c r="G12" s="118">
        <f>IF(OR(Data!$B3="R-9",Data!$B3="R-15"),2*F12,F12)</f>
        <v>2</v>
      </c>
      <c r="H12" s="118">
        <f>G12*D12</f>
        <v>0</v>
      </c>
      <c r="I12" s="8">
        <f>G12*Reference!$F$2</f>
        <v>2.66</v>
      </c>
      <c r="J12" s="104">
        <f>I12*D12</f>
        <v>0</v>
      </c>
      <c r="K12" s="132">
        <f t="shared" ref="K12:K13" si="1">IF(J12=0,0,(J12-H12)/J12)</f>
        <v>0</v>
      </c>
      <c r="L12" s="136"/>
      <c r="R12" s="161" t="s">
        <v>176</v>
      </c>
      <c r="S12" s="162">
        <f>SUM(S4:S10)</f>
        <v>0</v>
      </c>
      <c r="T12" s="163">
        <f>SUM(T4:T10)</f>
        <v>0</v>
      </c>
      <c r="U12" s="149">
        <f t="shared" si="0"/>
        <v>0</v>
      </c>
      <c r="X12" s="66" t="s">
        <v>61</v>
      </c>
      <c r="Y12" s="32"/>
    </row>
    <row r="13" spans="1:25" ht="15.75" x14ac:dyDescent="0.25">
      <c r="A13" s="88" t="s">
        <v>115</v>
      </c>
      <c r="B13" s="17" t="s">
        <v>47</v>
      </c>
      <c r="C13" s="17" t="s">
        <v>47</v>
      </c>
      <c r="D13" s="103"/>
      <c r="E13" s="17" t="s">
        <v>45</v>
      </c>
      <c r="F13" s="118">
        <f>Reference!$D$41</f>
        <v>13</v>
      </c>
      <c r="G13" s="118">
        <f>IF(OR(Data!$B3="R-9",Data!$B3="R-15"),2*F13,F13)</f>
        <v>13</v>
      </c>
      <c r="H13" s="118">
        <f>G13*D13</f>
        <v>0</v>
      </c>
      <c r="I13" s="8">
        <f>G13*Reference!$F$2</f>
        <v>17.29</v>
      </c>
      <c r="J13" s="104">
        <f>I13*D13</f>
        <v>0</v>
      </c>
      <c r="K13" s="132">
        <f t="shared" si="1"/>
        <v>0</v>
      </c>
      <c r="L13" s="136"/>
      <c r="R13" s="212" t="s">
        <v>179</v>
      </c>
      <c r="S13" s="213"/>
      <c r="T13" s="213"/>
      <c r="U13" s="214"/>
      <c r="X13" s="69" t="s">
        <v>59</v>
      </c>
      <c r="Y13" s="31">
        <f>'Fixed Curtain Rep Copy'!B12</f>
        <v>0</v>
      </c>
    </row>
    <row r="14" spans="1:25" ht="16.5" thickBot="1" x14ac:dyDescent="0.3">
      <c r="A14" s="89" t="s">
        <v>46</v>
      </c>
      <c r="B14" s="18" t="s">
        <v>47</v>
      </c>
      <c r="C14" s="18" t="s">
        <v>47</v>
      </c>
      <c r="D14" s="18" t="s">
        <v>47</v>
      </c>
      <c r="E14" s="18" t="s">
        <v>47</v>
      </c>
      <c r="F14" s="120" t="s">
        <v>47</v>
      </c>
      <c r="G14" s="120" t="s">
        <v>47</v>
      </c>
      <c r="H14" s="90">
        <v>0</v>
      </c>
      <c r="I14" s="18" t="s">
        <v>47</v>
      </c>
      <c r="J14" s="141">
        <f>H14*Reference!$L$14</f>
        <v>0</v>
      </c>
      <c r="K14" s="134">
        <f>IF(H14=0,0,(J14-H14)/J14)</f>
        <v>0</v>
      </c>
      <c r="L14" s="137"/>
      <c r="R14" s="166" t="s">
        <v>176</v>
      </c>
      <c r="S14" s="167">
        <f>SUM(S4:S8,S10)</f>
        <v>0</v>
      </c>
      <c r="T14" s="168">
        <f>SUM(T4:T8,T10)</f>
        <v>0</v>
      </c>
      <c r="U14" s="150">
        <f t="shared" si="0"/>
        <v>0</v>
      </c>
      <c r="X14" s="68" t="s">
        <v>60</v>
      </c>
      <c r="Y14" s="151">
        <f>'Fixed Curtain Rep Copy'!B11</f>
        <v>0</v>
      </c>
    </row>
    <row r="15" spans="1:25" ht="19.5" thickBot="1" x14ac:dyDescent="0.35">
      <c r="A15" s="84" t="s">
        <v>169</v>
      </c>
      <c r="B15" s="85">
        <f>SUM(J5:J6,J8:J14)</f>
        <v>0</v>
      </c>
      <c r="C15" s="107">
        <f>IF(Data!D5=0,0,installTime(Data!B3,Data!B5,Data!C5,Data!C6,Data!D8,Data!D9,Data!D10,Data!D13,Data!D11))</f>
        <v>0</v>
      </c>
      <c r="X15" s="170" t="s">
        <v>62</v>
      </c>
      <c r="Y15" s="171" t="str">
        <f>IF('Fixed Curtain Rep Copy'!B13="","",'Fixed Curtain Rep Copy'!B13)</f>
        <v/>
      </c>
    </row>
    <row r="16" spans="1:25" ht="15.75" thickBot="1" x14ac:dyDescent="0.3"/>
    <row r="17" spans="1:32" ht="22.5" thickTop="1" thickBot="1" x14ac:dyDescent="0.4">
      <c r="A17" s="82" t="s">
        <v>133</v>
      </c>
      <c r="B17" s="82" t="s">
        <v>64</v>
      </c>
      <c r="C17" s="83" t="s">
        <v>82</v>
      </c>
    </row>
    <row r="18" spans="1:32" ht="21" x14ac:dyDescent="0.35">
      <c r="A18" s="86" t="s">
        <v>28</v>
      </c>
      <c r="B18" s="44" t="s">
        <v>29</v>
      </c>
      <c r="C18" s="44" t="s">
        <v>30</v>
      </c>
      <c r="D18" s="44" t="s">
        <v>31</v>
      </c>
      <c r="E18" s="44" t="s">
        <v>32</v>
      </c>
      <c r="F18" s="117" t="s">
        <v>33</v>
      </c>
      <c r="G18" s="117" t="s">
        <v>34</v>
      </c>
      <c r="H18" s="117" t="s">
        <v>35</v>
      </c>
      <c r="I18" s="44" t="s">
        <v>48</v>
      </c>
      <c r="J18" s="44" t="s">
        <v>36</v>
      </c>
      <c r="K18" s="44" t="s">
        <v>37</v>
      </c>
      <c r="L18" s="87" t="s">
        <v>38</v>
      </c>
      <c r="R18" s="24" t="s">
        <v>50</v>
      </c>
      <c r="S18" s="25" t="s">
        <v>63</v>
      </c>
      <c r="T18" s="23" t="s">
        <v>51</v>
      </c>
      <c r="W18" s="72" t="s">
        <v>146</v>
      </c>
      <c r="X18" s="73" t="s">
        <v>31</v>
      </c>
      <c r="Y18" s="73" t="s">
        <v>162</v>
      </c>
      <c r="Z18" s="111" t="s">
        <v>148</v>
      </c>
      <c r="AA18" s="111" t="s">
        <v>35</v>
      </c>
      <c r="AB18" s="73" t="s">
        <v>32</v>
      </c>
      <c r="AC18" s="73" t="s">
        <v>48</v>
      </c>
      <c r="AD18" s="73" t="s">
        <v>36</v>
      </c>
      <c r="AE18" s="73" t="s">
        <v>37</v>
      </c>
      <c r="AF18" s="97" t="s">
        <v>38</v>
      </c>
    </row>
    <row r="19" spans="1:32" x14ac:dyDescent="0.25">
      <c r="A19" s="88" t="s">
        <v>40</v>
      </c>
      <c r="B19" s="91"/>
      <c r="C19" s="91"/>
      <c r="D19" s="103">
        <f>Data!B19*Data!C19</f>
        <v>0</v>
      </c>
      <c r="E19" s="17" t="s">
        <v>44</v>
      </c>
      <c r="F19" s="121">
        <f>_xlfn.SWITCH(Data!$B17,"R-3",Reference!$D$2,"R-6",Reference!$D$3,"R-9",Reference!$D$4,"R-15",Reference!$D$5,Reference!$A$6,Reference!$D$6,Reference!$A$7,Reference!$D$7, "R-#",0)</f>
        <v>0</v>
      </c>
      <c r="G19" s="118">
        <f>F19</f>
        <v>0</v>
      </c>
      <c r="H19" s="118">
        <f>G19*D19</f>
        <v>0</v>
      </c>
      <c r="I19" s="8">
        <f>G19*Reference!$F$2</f>
        <v>0</v>
      </c>
      <c r="J19" s="104">
        <f>I19*D19</f>
        <v>0</v>
      </c>
      <c r="K19" s="132">
        <f>IF(J19=0,0,(J19-H19)/J19)</f>
        <v>0</v>
      </c>
      <c r="L19" s="135"/>
      <c r="R19" s="26" t="s">
        <v>53</v>
      </c>
      <c r="S19" s="215" t="s">
        <v>185</v>
      </c>
      <c r="T19" s="216"/>
      <c r="W19" s="98" t="s">
        <v>147</v>
      </c>
      <c r="X19" s="91">
        <v>2</v>
      </c>
      <c r="Y19" s="142">
        <f>IF(Data!X19=0,0,SUM(IF(C3="Not included",0,C15),IF(C17="Not included",0,C29),IF(C31="Not included",0,C43),IF(C45="Not included",0,C57),IF(C59="Not included",0,C71))/(Data!X19*2))</f>
        <v>0</v>
      </c>
      <c r="Z19" s="112">
        <f>(Reference!$D$15+Reference!$D$16*(Data!X19-1))</f>
        <v>50</v>
      </c>
      <c r="AA19" s="112">
        <f>Z19*Y19</f>
        <v>0</v>
      </c>
      <c r="AB19" s="17" t="s">
        <v>163</v>
      </c>
      <c r="AC19" s="8">
        <f>Z19*Reference!$F$2</f>
        <v>66.5</v>
      </c>
      <c r="AD19" s="104">
        <f>AA19*Reference!$F$2</f>
        <v>0</v>
      </c>
      <c r="AE19" s="77">
        <f>IF(OR(Y19=0,X19=0),0,(AD19-AA19)/AD19)</f>
        <v>0</v>
      </c>
      <c r="AF19" s="135"/>
    </row>
    <row r="20" spans="1:32" x14ac:dyDescent="0.25">
      <c r="A20" s="88" t="s">
        <v>39</v>
      </c>
      <c r="B20" s="123"/>
      <c r="C20" s="123"/>
      <c r="D20" s="124">
        <f>Data!B20*Data!C20</f>
        <v>0</v>
      </c>
      <c r="E20" s="62" t="s">
        <v>44</v>
      </c>
      <c r="F20" s="125">
        <f>_xlfn.SWITCH(Data!$B17,"R-3",Reference!$D$11,"R-6",Reference!$D$12,"R-9",2*Reference!$D$11,"R-15",2*Reference!$D$12,Reference!$A$6,Reference!$D$9,Reference!$A$7,Reference!$D$10, "R-#",0)</f>
        <v>0</v>
      </c>
      <c r="G20" s="126">
        <f>F20</f>
        <v>0</v>
      </c>
      <c r="H20" s="126">
        <f>G20*D20</f>
        <v>0</v>
      </c>
      <c r="I20" s="63">
        <f>G20*Reference!$F$2</f>
        <v>0</v>
      </c>
      <c r="J20" s="127">
        <f>I20*D20</f>
        <v>0</v>
      </c>
      <c r="K20" s="133">
        <f>IF(J20=0,0,(J20-H20)/J20)</f>
        <v>0</v>
      </c>
      <c r="L20" s="136"/>
      <c r="R20" s="27">
        <f>'Fixed Curtain Rep Copy'!D3</f>
        <v>0</v>
      </c>
      <c r="S20" s="28">
        <f>'Fixed Curtain Rep Copy'!E3</f>
        <v>0</v>
      </c>
      <c r="T20" s="29">
        <f>R20*S20</f>
        <v>0</v>
      </c>
      <c r="W20" s="98" t="s">
        <v>149</v>
      </c>
      <c r="X20" s="91"/>
      <c r="Y20" s="17" t="s">
        <v>47</v>
      </c>
      <c r="Z20" s="112">
        <f>Reference!$D$17</f>
        <v>0.52</v>
      </c>
      <c r="AA20" s="112">
        <f>X20*Z20</f>
        <v>0</v>
      </c>
      <c r="AB20" s="17" t="s">
        <v>73</v>
      </c>
      <c r="AC20" s="8">
        <f>Z20*Reference!$F$2</f>
        <v>0.6916000000000001</v>
      </c>
      <c r="AD20" s="104">
        <f>AC20*X20</f>
        <v>0</v>
      </c>
      <c r="AE20" s="77">
        <f>IF(X20=0,0,(AD20-AA20)/AD20)</f>
        <v>0</v>
      </c>
      <c r="AF20" s="136"/>
    </row>
    <row r="21" spans="1:32" ht="18.75" x14ac:dyDescent="0.3">
      <c r="A21" s="122" t="s">
        <v>22</v>
      </c>
      <c r="B21" s="115"/>
      <c r="C21" s="116"/>
      <c r="D21" s="116"/>
      <c r="E21" s="116"/>
      <c r="F21" s="119"/>
      <c r="G21" s="119"/>
      <c r="H21" s="119"/>
      <c r="I21" s="116"/>
      <c r="J21" s="116"/>
      <c r="K21" s="116"/>
      <c r="L21" s="136"/>
      <c r="R21" s="27">
        <f>'Fixed Curtain Rep Copy'!D4</f>
        <v>0</v>
      </c>
      <c r="S21" s="28">
        <f>'Fixed Curtain Rep Copy'!E4</f>
        <v>0</v>
      </c>
      <c r="T21" s="29">
        <f>R21*S21</f>
        <v>0</v>
      </c>
      <c r="W21" s="98" t="s">
        <v>68</v>
      </c>
      <c r="X21" s="91"/>
      <c r="Y21" s="17" t="s">
        <v>47</v>
      </c>
      <c r="Z21" s="112">
        <f>Reference!$D$18</f>
        <v>165</v>
      </c>
      <c r="AA21" s="112">
        <f>X21*Z21</f>
        <v>0</v>
      </c>
      <c r="AB21" s="17" t="s">
        <v>156</v>
      </c>
      <c r="AC21" s="8">
        <f>Z21*Reference!$F$2</f>
        <v>219.45000000000002</v>
      </c>
      <c r="AD21" s="104">
        <f>AC21*X21</f>
        <v>0</v>
      </c>
      <c r="AE21" s="77">
        <f>IF(X21=0,0,(AD21-AA21)/AD21)</f>
        <v>0</v>
      </c>
      <c r="AF21" s="136"/>
    </row>
    <row r="22" spans="1:32" x14ac:dyDescent="0.25">
      <c r="A22" s="88" t="s">
        <v>112</v>
      </c>
      <c r="B22" s="128" t="s">
        <v>47</v>
      </c>
      <c r="C22" s="128" t="s">
        <v>47</v>
      </c>
      <c r="D22" s="129"/>
      <c r="E22" s="128" t="s">
        <v>47</v>
      </c>
      <c r="F22" s="130" t="s">
        <v>47</v>
      </c>
      <c r="G22" s="130" t="s">
        <v>47</v>
      </c>
      <c r="H22" s="131">
        <v>0</v>
      </c>
      <c r="I22" s="128" t="s">
        <v>47</v>
      </c>
      <c r="J22" s="104">
        <f>H22*Reference!$L$14</f>
        <v>0</v>
      </c>
      <c r="K22" s="132">
        <f>IF(H22=0,0,(J22-H22)/J22)</f>
        <v>0</v>
      </c>
      <c r="L22" s="136"/>
      <c r="R22" s="27">
        <f>'Fixed Curtain Rep Copy'!D5</f>
        <v>0</v>
      </c>
      <c r="S22" s="28">
        <f>'Fixed Curtain Rep Copy'!E5</f>
        <v>0</v>
      </c>
      <c r="T22" s="29">
        <f t="shared" ref="T22:T32" si="2">R22*S22</f>
        <v>0</v>
      </c>
      <c r="W22" s="98" t="s">
        <v>150</v>
      </c>
      <c r="X22" s="91"/>
      <c r="Y22" s="17" t="s">
        <v>47</v>
      </c>
      <c r="Z22" s="112">
        <f>Reference!$D$19</f>
        <v>200</v>
      </c>
      <c r="AA22" s="112">
        <f>X22*Z22</f>
        <v>0</v>
      </c>
      <c r="AB22" s="17" t="s">
        <v>47</v>
      </c>
      <c r="AC22" s="8">
        <f>Z22*Reference!$F$2</f>
        <v>266</v>
      </c>
      <c r="AD22" s="104">
        <f>AC22*X22</f>
        <v>0</v>
      </c>
      <c r="AE22" s="77">
        <f>IF(X22=0,0,(AD22-AA22)/AD22)</f>
        <v>0</v>
      </c>
      <c r="AF22" s="136"/>
    </row>
    <row r="23" spans="1:32" x14ac:dyDescent="0.25">
      <c r="A23" s="88" t="s">
        <v>42</v>
      </c>
      <c r="B23" s="17" t="s">
        <v>47</v>
      </c>
      <c r="C23" s="17" t="s">
        <v>47</v>
      </c>
      <c r="D23" s="91"/>
      <c r="E23" s="17" t="s">
        <v>47</v>
      </c>
      <c r="F23" s="113" t="s">
        <v>47</v>
      </c>
      <c r="G23" s="113" t="s">
        <v>47</v>
      </c>
      <c r="H23" s="46">
        <v>0</v>
      </c>
      <c r="I23" s="17" t="s">
        <v>47</v>
      </c>
      <c r="J23" s="104">
        <f>H23*Reference!$L$14</f>
        <v>0</v>
      </c>
      <c r="K23" s="132">
        <f>IF(H23=0,0,(J23-H23)/J23)</f>
        <v>0</v>
      </c>
      <c r="L23" s="136"/>
      <c r="R23" s="27">
        <f>'Fixed Curtain Rep Copy'!D6</f>
        <v>0</v>
      </c>
      <c r="S23" s="28">
        <f>'Fixed Curtain Rep Copy'!E6</f>
        <v>0</v>
      </c>
      <c r="T23" s="29">
        <f t="shared" si="2"/>
        <v>0</v>
      </c>
      <c r="W23" s="98" t="s">
        <v>151</v>
      </c>
      <c r="X23" s="91"/>
      <c r="Y23" s="17" t="s">
        <v>47</v>
      </c>
      <c r="Z23" s="112">
        <f>Reference!$D$20</f>
        <v>100</v>
      </c>
      <c r="AA23" s="112">
        <f>X23*Z23</f>
        <v>0</v>
      </c>
      <c r="AB23" s="17" t="s">
        <v>47</v>
      </c>
      <c r="AC23" s="8">
        <f>Z23*Reference!$F$2</f>
        <v>133</v>
      </c>
      <c r="AD23" s="104">
        <f>AC23*X23</f>
        <v>0</v>
      </c>
      <c r="AE23" s="77">
        <f>IF(X23=0,0,(AD23-AA23)/AD23)</f>
        <v>0</v>
      </c>
      <c r="AF23" s="136"/>
    </row>
    <row r="24" spans="1:32" x14ac:dyDescent="0.25">
      <c r="A24" s="88" t="s">
        <v>41</v>
      </c>
      <c r="B24" s="17" t="s">
        <v>47</v>
      </c>
      <c r="C24" s="17" t="s">
        <v>47</v>
      </c>
      <c r="D24" s="103">
        <v>0</v>
      </c>
      <c r="E24" s="17" t="s">
        <v>45</v>
      </c>
      <c r="F24" s="118">
        <f>Reference!$D$8</f>
        <v>2.4975000000000005</v>
      </c>
      <c r="G24" s="118">
        <f>IF(OR(Data!$B17="R-9",Data!$B17="R-15"),2*Data!F24,Data!F24)</f>
        <v>2.4975000000000005</v>
      </c>
      <c r="H24" s="118">
        <f>G24*D24</f>
        <v>0</v>
      </c>
      <c r="I24" s="8">
        <f>G24*Reference!$F$2</f>
        <v>3.3216750000000008</v>
      </c>
      <c r="J24" s="104">
        <f>I24*D24</f>
        <v>0</v>
      </c>
      <c r="K24" s="132">
        <f>IF(J24=0,0,(J24-H24)/J24)</f>
        <v>0</v>
      </c>
      <c r="L24" s="136"/>
      <c r="R24" s="27">
        <f>'Fixed Curtain Rep Copy'!D7</f>
        <v>0</v>
      </c>
      <c r="S24" s="28">
        <f>'Fixed Curtain Rep Copy'!E7</f>
        <v>0</v>
      </c>
      <c r="T24" s="29">
        <f t="shared" si="2"/>
        <v>0</v>
      </c>
      <c r="W24" s="98" t="s">
        <v>152</v>
      </c>
      <c r="X24" s="17" t="s">
        <v>47</v>
      </c>
      <c r="Y24" s="17" t="s">
        <v>47</v>
      </c>
      <c r="Z24" s="113" t="s">
        <v>47</v>
      </c>
      <c r="AA24" s="46">
        <v>0</v>
      </c>
      <c r="AB24" s="17" t="s">
        <v>47</v>
      </c>
      <c r="AC24" s="17" t="s">
        <v>47</v>
      </c>
      <c r="AD24" s="104">
        <f>AA24*Reference!$L$14</f>
        <v>0</v>
      </c>
      <c r="AE24" s="77">
        <f>IF(AA24=0,0,(AD24-AA24)/AD24)</f>
        <v>0</v>
      </c>
      <c r="AF24" s="136"/>
    </row>
    <row r="25" spans="1:32" x14ac:dyDescent="0.25">
      <c r="A25" s="88" t="s">
        <v>113</v>
      </c>
      <c r="B25" s="17" t="s">
        <v>47</v>
      </c>
      <c r="C25" s="17" t="s">
        <v>47</v>
      </c>
      <c r="D25" s="200"/>
      <c r="E25" s="17" t="s">
        <v>72</v>
      </c>
      <c r="F25" s="113" t="s">
        <v>47</v>
      </c>
      <c r="G25" s="113" t="s">
        <v>47</v>
      </c>
      <c r="H25" s="46">
        <v>0</v>
      </c>
      <c r="I25" s="17" t="s">
        <v>47</v>
      </c>
      <c r="J25" s="104">
        <f>H25*Reference!$L$14</f>
        <v>0</v>
      </c>
      <c r="K25" s="132">
        <f>IF(H25=0,0,(J25-H25)/J25)</f>
        <v>0</v>
      </c>
      <c r="L25" s="136"/>
      <c r="R25" s="27">
        <f>'Fixed Curtain Rep Copy'!D8</f>
        <v>0</v>
      </c>
      <c r="S25" s="28">
        <f>'Fixed Curtain Rep Copy'!E8</f>
        <v>0</v>
      </c>
      <c r="T25" s="29">
        <f t="shared" si="2"/>
        <v>0</v>
      </c>
      <c r="W25" s="98" t="s">
        <v>9</v>
      </c>
      <c r="X25" s="143"/>
      <c r="Y25" s="143"/>
      <c r="Z25" s="112">
        <f>IF(Data!$X$25="",0,_xlfn.SWITCH(Data!$X$25,'Drop Down'!G1,0,Reference!$A$50,_xlfn.SWITCH(Data!$AB$25,'Drop Down'!$I$2,Reference!$B$50,'Drop Down'!I3,Reference!C50,'Drop Down'!I4,Reference!D50),Reference!A51,_xlfn.SWITCH(Data!AB25,'Drop Down'!I2,Reference!B51,'Drop Down'!I3,Reference!C51,'Drop Down'!I4,Reference!D51),Reference!A52,_xlfn.SWITCH(Data!AB25,'Drop Down'!I2,Reference!B52,'Drop Down'!I3,Reference!C52,'Drop Down'!I4,Reference!D52)))</f>
        <v>0</v>
      </c>
      <c r="AA25" s="112">
        <v>0</v>
      </c>
      <c r="AB25" s="143"/>
      <c r="AC25" s="8">
        <f>Z25*Reference!$L$14</f>
        <v>0</v>
      </c>
      <c r="AD25" s="104">
        <f>AA25*Reference!$L$14</f>
        <v>0</v>
      </c>
      <c r="AE25" s="77">
        <f>IF(Y25=0,0,(AD25-AA25)/AD25)</f>
        <v>0</v>
      </c>
      <c r="AF25" s="136"/>
    </row>
    <row r="26" spans="1:32" x14ac:dyDescent="0.25">
      <c r="A26" s="88" t="s">
        <v>114</v>
      </c>
      <c r="B26" s="17" t="s">
        <v>47</v>
      </c>
      <c r="C26" s="17" t="s">
        <v>47</v>
      </c>
      <c r="D26" s="91"/>
      <c r="E26" s="17" t="s">
        <v>89</v>
      </c>
      <c r="F26" s="118">
        <f>Reference!$D$40</f>
        <v>2</v>
      </c>
      <c r="G26" s="118">
        <f>IF(OR(Data!$B17="R-9",Data!$B17="R-15"),2*F26,F26)</f>
        <v>2</v>
      </c>
      <c r="H26" s="118">
        <f>G26*D26</f>
        <v>0</v>
      </c>
      <c r="I26" s="8">
        <f>G26*Reference!$F$2</f>
        <v>2.66</v>
      </c>
      <c r="J26" s="104">
        <f>I26*D26</f>
        <v>0</v>
      </c>
      <c r="K26" s="132">
        <f t="shared" ref="K26:K27" si="3">IF(J26=0,0,(J26-H26)/J26)</f>
        <v>0</v>
      </c>
      <c r="L26" s="136"/>
      <c r="R26" s="27">
        <f>'Fixed Curtain Rep Copy'!D9</f>
        <v>0</v>
      </c>
      <c r="S26" s="28">
        <f>'Fixed Curtain Rep Copy'!E9</f>
        <v>0</v>
      </c>
      <c r="T26" s="29">
        <f t="shared" si="2"/>
        <v>0</v>
      </c>
      <c r="W26" s="105" t="s">
        <v>161</v>
      </c>
      <c r="X26" s="17" t="s">
        <v>47</v>
      </c>
      <c r="Y26" s="17" t="s">
        <v>47</v>
      </c>
      <c r="Z26" s="112" t="s">
        <v>47</v>
      </c>
      <c r="AA26" s="46">
        <v>0</v>
      </c>
      <c r="AB26" s="75" t="s">
        <v>47</v>
      </c>
      <c r="AC26" s="75" t="s">
        <v>47</v>
      </c>
      <c r="AD26" s="104">
        <f>AA26*Reference!$L$14</f>
        <v>0</v>
      </c>
      <c r="AE26" s="77">
        <f>IF(AA26=0,0,(AD26-AA26)/AD26)</f>
        <v>0</v>
      </c>
      <c r="AF26" s="136"/>
    </row>
    <row r="27" spans="1:32" x14ac:dyDescent="0.25">
      <c r="A27" s="88" t="s">
        <v>115</v>
      </c>
      <c r="B27" s="17" t="s">
        <v>47</v>
      </c>
      <c r="C27" s="17" t="s">
        <v>47</v>
      </c>
      <c r="D27" s="103"/>
      <c r="E27" s="17" t="s">
        <v>45</v>
      </c>
      <c r="F27" s="118">
        <f>Reference!$D$41</f>
        <v>13</v>
      </c>
      <c r="G27" s="118">
        <f>IF(OR(Data!$B17="R-9",Data!$B17="R-15"),2*F27,F27)</f>
        <v>13</v>
      </c>
      <c r="H27" s="118">
        <f>G27*D27</f>
        <v>0</v>
      </c>
      <c r="I27" s="8">
        <f>G27*Reference!$F$2</f>
        <v>17.29</v>
      </c>
      <c r="J27" s="104">
        <f>I27*D27</f>
        <v>0</v>
      </c>
      <c r="K27" s="132">
        <f t="shared" si="3"/>
        <v>0</v>
      </c>
      <c r="L27" s="136"/>
      <c r="R27" s="27">
        <f>'Fixed Curtain Rep Copy'!D10</f>
        <v>0</v>
      </c>
      <c r="S27" s="28">
        <f>'Fixed Curtain Rep Copy'!E10</f>
        <v>0</v>
      </c>
      <c r="T27" s="29">
        <f t="shared" si="2"/>
        <v>0</v>
      </c>
      <c r="W27" s="98" t="s">
        <v>153</v>
      </c>
      <c r="X27" s="91"/>
      <c r="Y27" s="17" t="s">
        <v>47</v>
      </c>
      <c r="Z27" s="112">
        <f>Reference!D46</f>
        <v>300</v>
      </c>
      <c r="AA27" s="112">
        <f>X27*Z27</f>
        <v>0</v>
      </c>
      <c r="AB27" s="17" t="s">
        <v>47</v>
      </c>
      <c r="AC27" s="8">
        <f>Z27*Reference!$F$2</f>
        <v>399</v>
      </c>
      <c r="AD27" s="104">
        <f>AC27*X27</f>
        <v>0</v>
      </c>
      <c r="AE27" s="77">
        <f>IF(X27=0,0,(AD27-AA27)/AD27)</f>
        <v>0</v>
      </c>
      <c r="AF27" s="136"/>
    </row>
    <row r="28" spans="1:32" ht="15.75" thickBot="1" x14ac:dyDescent="0.3">
      <c r="A28" s="89" t="s">
        <v>46</v>
      </c>
      <c r="B28" s="18" t="s">
        <v>47</v>
      </c>
      <c r="C28" s="18" t="s">
        <v>47</v>
      </c>
      <c r="D28" s="18" t="s">
        <v>47</v>
      </c>
      <c r="E28" s="18" t="s">
        <v>47</v>
      </c>
      <c r="F28" s="120" t="s">
        <v>47</v>
      </c>
      <c r="G28" s="120" t="s">
        <v>47</v>
      </c>
      <c r="H28" s="90">
        <v>0</v>
      </c>
      <c r="I28" s="18" t="s">
        <v>47</v>
      </c>
      <c r="J28" s="141">
        <f>H28*Reference!$L$14</f>
        <v>0</v>
      </c>
      <c r="K28" s="134">
        <f>IF(H28=0,0,(J28-H28)/J28)</f>
        <v>0</v>
      </c>
      <c r="L28" s="137"/>
      <c r="R28" s="27">
        <f>'Fixed Curtain Rep Copy'!D11</f>
        <v>0</v>
      </c>
      <c r="S28" s="28">
        <f>'Fixed Curtain Rep Copy'!E11</f>
        <v>0</v>
      </c>
      <c r="T28" s="35">
        <f t="shared" si="2"/>
        <v>0</v>
      </c>
      <c r="W28" s="106" t="s">
        <v>145</v>
      </c>
      <c r="X28" s="18" t="s">
        <v>47</v>
      </c>
      <c r="Y28" s="18" t="s">
        <v>47</v>
      </c>
      <c r="Z28" s="114" t="s">
        <v>47</v>
      </c>
      <c r="AA28" s="90">
        <v>0</v>
      </c>
      <c r="AB28" s="94" t="s">
        <v>47</v>
      </c>
      <c r="AC28" s="94" t="s">
        <v>47</v>
      </c>
      <c r="AD28" s="144">
        <f>AA28*Reference!$L$14</f>
        <v>0</v>
      </c>
      <c r="AE28" s="78">
        <f>IF(AA28=0,0,(AD28-AA28)/AD28)</f>
        <v>0</v>
      </c>
      <c r="AF28" s="137"/>
    </row>
    <row r="29" spans="1:32" ht="19.5" thickBot="1" x14ac:dyDescent="0.35">
      <c r="A29" s="84" t="s">
        <v>173</v>
      </c>
      <c r="B29" s="85">
        <f>SUM(J19:J20,J22:J28)</f>
        <v>0</v>
      </c>
      <c r="C29" s="107">
        <f>IF(Data!D19=0,0,installTime(Data!B17,Data!B19,Data!C19,Data!C20,Data!D22,Data!D23,Data!D24,Data!D27,Data!D25))</f>
        <v>0</v>
      </c>
      <c r="R29" s="27">
        <f>'Fixed Curtain Rep Copy'!D12</f>
        <v>0</v>
      </c>
      <c r="S29" s="28">
        <f>'Fixed Curtain Rep Copy'!E12</f>
        <v>0</v>
      </c>
      <c r="T29" s="38">
        <f t="shared" si="2"/>
        <v>0</v>
      </c>
      <c r="W29" s="84" t="s">
        <v>157</v>
      </c>
      <c r="X29" s="85">
        <f>SUM(AD19:AD28)</f>
        <v>0</v>
      </c>
    </row>
    <row r="30" spans="1:32" ht="15.75" thickBot="1" x14ac:dyDescent="0.3">
      <c r="R30" s="27">
        <f>'Fixed Curtain Rep Copy'!D13</f>
        <v>0</v>
      </c>
      <c r="S30" s="28">
        <f>'Fixed Curtain Rep Copy'!E13</f>
        <v>0</v>
      </c>
      <c r="T30" s="38">
        <f t="shared" si="2"/>
        <v>0</v>
      </c>
    </row>
    <row r="31" spans="1:32" ht="22.5" thickTop="1" thickBot="1" x14ac:dyDescent="0.4">
      <c r="A31" s="82" t="s">
        <v>134</v>
      </c>
      <c r="B31" s="82" t="s">
        <v>64</v>
      </c>
      <c r="C31" s="83" t="s">
        <v>82</v>
      </c>
      <c r="R31" s="27">
        <f>'Fixed Curtain Rep Copy'!D14</f>
        <v>0</v>
      </c>
      <c r="S31" s="28">
        <f>'Fixed Curtain Rep Copy'!E14</f>
        <v>0</v>
      </c>
      <c r="T31" s="38">
        <f t="shared" si="2"/>
        <v>0</v>
      </c>
    </row>
    <row r="32" spans="1:32" ht="19.5" thickBot="1" x14ac:dyDescent="0.35">
      <c r="A32" s="86" t="s">
        <v>28</v>
      </c>
      <c r="B32" s="44" t="s">
        <v>29</v>
      </c>
      <c r="C32" s="44" t="s">
        <v>30</v>
      </c>
      <c r="D32" s="44" t="s">
        <v>31</v>
      </c>
      <c r="E32" s="44" t="s">
        <v>32</v>
      </c>
      <c r="F32" s="117" t="s">
        <v>33</v>
      </c>
      <c r="G32" s="117" t="s">
        <v>34</v>
      </c>
      <c r="H32" s="117" t="s">
        <v>35</v>
      </c>
      <c r="I32" s="44" t="s">
        <v>48</v>
      </c>
      <c r="J32" s="44" t="s">
        <v>36</v>
      </c>
      <c r="K32" s="44" t="s">
        <v>37</v>
      </c>
      <c r="L32" s="87" t="s">
        <v>38</v>
      </c>
      <c r="R32" s="182">
        <f>'Fixed Curtain Rep Copy'!D15</f>
        <v>0</v>
      </c>
      <c r="S32" s="183">
        <f>'Fixed Curtain Rep Copy'!E15</f>
        <v>0</v>
      </c>
      <c r="T32" s="41">
        <f t="shared" si="2"/>
        <v>0</v>
      </c>
    </row>
    <row r="33" spans="1:20" x14ac:dyDescent="0.25">
      <c r="A33" s="88" t="s">
        <v>40</v>
      </c>
      <c r="B33" s="91"/>
      <c r="C33" s="91"/>
      <c r="D33" s="103">
        <f>Data!B33*Data!C33</f>
        <v>0</v>
      </c>
      <c r="E33" s="17" t="s">
        <v>44</v>
      </c>
      <c r="F33" s="121">
        <f>_xlfn.SWITCH(Data!$B31,"R-3",Reference!$D$2,"R-6",Reference!$D$3,"R-9",Reference!$D$4,"R-15",Reference!$D$5,Reference!$A$6,Reference!$D$6,Reference!$A$7,Reference!$D$7, "R-#",0)</f>
        <v>0</v>
      </c>
      <c r="G33" s="118">
        <f>F33</f>
        <v>0</v>
      </c>
      <c r="H33" s="118">
        <f>G33*D33</f>
        <v>0</v>
      </c>
      <c r="I33" s="8">
        <f>G33*Reference!$F$2</f>
        <v>0</v>
      </c>
      <c r="J33" s="104">
        <f>I33*D33</f>
        <v>0</v>
      </c>
      <c r="K33" s="132">
        <f>IF(J33=0,0,(J33-H33)/J33)</f>
        <v>0</v>
      </c>
      <c r="L33" s="135"/>
      <c r="R33"/>
      <c r="S33"/>
      <c r="T33"/>
    </row>
    <row r="34" spans="1:20" ht="15.75" thickBot="1" x14ac:dyDescent="0.3">
      <c r="A34" s="88" t="s">
        <v>39</v>
      </c>
      <c r="B34" s="123"/>
      <c r="C34" s="123"/>
      <c r="D34" s="124">
        <f>Data!B34*Data!C34</f>
        <v>0</v>
      </c>
      <c r="E34" s="62" t="s">
        <v>44</v>
      </c>
      <c r="F34" s="125">
        <f>_xlfn.SWITCH(Data!$B31,"R-3",Reference!$D$11,"R-6",Reference!$D$12,"R-9",2*Reference!$D$11,"R-15",2*Reference!$D$12,Reference!$A$6,Reference!$D$9,Reference!$A$7,Reference!$D$10, "R-#",0)</f>
        <v>0</v>
      </c>
      <c r="G34" s="126">
        <f>F34</f>
        <v>0</v>
      </c>
      <c r="H34" s="126">
        <f>G34*D34</f>
        <v>0</v>
      </c>
      <c r="I34" s="63">
        <f>G34*Reference!$F$2</f>
        <v>0</v>
      </c>
      <c r="J34" s="127">
        <f>I34*D34</f>
        <v>0</v>
      </c>
      <c r="K34" s="133">
        <f>IF(J34=0,0,(J34-H34)/J34)</f>
        <v>0</v>
      </c>
      <c r="L34" s="136"/>
      <c r="R34"/>
      <c r="S34"/>
      <c r="T34"/>
    </row>
    <row r="35" spans="1:20" ht="18.75" x14ac:dyDescent="0.3">
      <c r="A35" s="122" t="s">
        <v>22</v>
      </c>
      <c r="B35" s="115"/>
      <c r="C35" s="116"/>
      <c r="D35" s="116"/>
      <c r="E35" s="116"/>
      <c r="F35" s="119"/>
      <c r="G35" s="119"/>
      <c r="H35" s="119"/>
      <c r="I35" s="116"/>
      <c r="J35" s="116"/>
      <c r="K35" s="116"/>
      <c r="L35" s="136"/>
      <c r="R35" s="24" t="s">
        <v>50</v>
      </c>
      <c r="S35" s="25" t="s">
        <v>63</v>
      </c>
      <c r="T35" s="23" t="s">
        <v>51</v>
      </c>
    </row>
    <row r="36" spans="1:20" x14ac:dyDescent="0.25">
      <c r="A36" s="88" t="s">
        <v>112</v>
      </c>
      <c r="B36" s="128" t="s">
        <v>47</v>
      </c>
      <c r="C36" s="128" t="s">
        <v>47</v>
      </c>
      <c r="D36" s="129"/>
      <c r="E36" s="128" t="s">
        <v>47</v>
      </c>
      <c r="F36" s="130" t="s">
        <v>47</v>
      </c>
      <c r="G36" s="130" t="s">
        <v>47</v>
      </c>
      <c r="H36" s="131">
        <v>0</v>
      </c>
      <c r="I36" s="128" t="s">
        <v>47</v>
      </c>
      <c r="J36" s="104">
        <f>H36*Reference!$L$14</f>
        <v>0</v>
      </c>
      <c r="K36" s="132">
        <f>IF(H36=0,0,(J36-H36)/J36)</f>
        <v>0</v>
      </c>
      <c r="L36" s="136"/>
      <c r="R36" s="26" t="s">
        <v>53</v>
      </c>
      <c r="S36" s="215" t="s">
        <v>186</v>
      </c>
      <c r="T36" s="216"/>
    </row>
    <row r="37" spans="1:20" x14ac:dyDescent="0.25">
      <c r="A37" s="88" t="s">
        <v>42</v>
      </c>
      <c r="B37" s="17" t="s">
        <v>47</v>
      </c>
      <c r="C37" s="17" t="s">
        <v>47</v>
      </c>
      <c r="D37" s="91"/>
      <c r="E37" s="17" t="s">
        <v>47</v>
      </c>
      <c r="F37" s="113" t="s">
        <v>47</v>
      </c>
      <c r="G37" s="113" t="s">
        <v>47</v>
      </c>
      <c r="H37" s="46">
        <v>0</v>
      </c>
      <c r="I37" s="17" t="s">
        <v>47</v>
      </c>
      <c r="J37" s="104">
        <f>H37*Reference!$L$14</f>
        <v>0</v>
      </c>
      <c r="K37" s="132">
        <f>IF(H37=0,0,(J37-H37)/J37)</f>
        <v>0</v>
      </c>
      <c r="L37" s="136"/>
      <c r="R37" s="27">
        <f>'Fixed Curtain Rep Copy'!D20</f>
        <v>0</v>
      </c>
      <c r="S37" s="28">
        <f>'Fixed Curtain Rep Copy'!E20</f>
        <v>0</v>
      </c>
      <c r="T37" s="29">
        <f>R37*S37</f>
        <v>0</v>
      </c>
    </row>
    <row r="38" spans="1:20" x14ac:dyDescent="0.25">
      <c r="A38" s="88" t="s">
        <v>41</v>
      </c>
      <c r="B38" s="17" t="s">
        <v>47</v>
      </c>
      <c r="C38" s="17" t="s">
        <v>47</v>
      </c>
      <c r="D38" s="103">
        <v>0</v>
      </c>
      <c r="E38" s="17" t="s">
        <v>45</v>
      </c>
      <c r="F38" s="118">
        <f>Reference!$D$8</f>
        <v>2.4975000000000005</v>
      </c>
      <c r="G38" s="118">
        <f>IF(OR(Data!$B31="R-9",Data!$B31="R-15"),2*Data!F38,Data!F38)</f>
        <v>2.4975000000000005</v>
      </c>
      <c r="H38" s="118">
        <f>G38*D38</f>
        <v>0</v>
      </c>
      <c r="I38" s="8">
        <f>G38*Reference!$F$2</f>
        <v>3.3216750000000008</v>
      </c>
      <c r="J38" s="104">
        <f>I38*D38</f>
        <v>0</v>
      </c>
      <c r="K38" s="132">
        <f>IF(J38=0,0,(J38-H38)/J38)</f>
        <v>0</v>
      </c>
      <c r="L38" s="136"/>
      <c r="R38" s="27">
        <f>'Fixed Curtain Rep Copy'!D21</f>
        <v>0</v>
      </c>
      <c r="S38" s="28">
        <f>'Fixed Curtain Rep Copy'!E21</f>
        <v>0</v>
      </c>
      <c r="T38" s="29">
        <f>R38*S38</f>
        <v>0</v>
      </c>
    </row>
    <row r="39" spans="1:20" x14ac:dyDescent="0.25">
      <c r="A39" s="88" t="s">
        <v>113</v>
      </c>
      <c r="B39" s="17" t="s">
        <v>47</v>
      </c>
      <c r="C39" s="17" t="s">
        <v>47</v>
      </c>
      <c r="D39" s="200"/>
      <c r="E39" s="17" t="s">
        <v>72</v>
      </c>
      <c r="F39" s="113" t="s">
        <v>47</v>
      </c>
      <c r="G39" s="113" t="s">
        <v>47</v>
      </c>
      <c r="H39" s="46">
        <v>0</v>
      </c>
      <c r="I39" s="17" t="s">
        <v>47</v>
      </c>
      <c r="J39" s="104">
        <f>H39*Reference!$L$14</f>
        <v>0</v>
      </c>
      <c r="K39" s="132">
        <f>IF(H39=0,0,(J39-H39)/J39)</f>
        <v>0</v>
      </c>
      <c r="L39" s="136"/>
      <c r="R39" s="27">
        <f>'Fixed Curtain Rep Copy'!D22</f>
        <v>0</v>
      </c>
      <c r="S39" s="28">
        <f>'Fixed Curtain Rep Copy'!E22</f>
        <v>0</v>
      </c>
      <c r="T39" s="29">
        <f t="shared" ref="T39:T49" si="4">R39*S39</f>
        <v>0</v>
      </c>
    </row>
    <row r="40" spans="1:20" x14ac:dyDescent="0.25">
      <c r="A40" s="88" t="s">
        <v>114</v>
      </c>
      <c r="B40" s="17" t="s">
        <v>47</v>
      </c>
      <c r="C40" s="17" t="s">
        <v>47</v>
      </c>
      <c r="D40" s="91"/>
      <c r="E40" s="17" t="s">
        <v>89</v>
      </c>
      <c r="F40" s="118">
        <f>Reference!$D$40</f>
        <v>2</v>
      </c>
      <c r="G40" s="118">
        <f>IF(OR(Data!$B31="R-9",Data!$B31="R-15"),2*F40,F40)</f>
        <v>2</v>
      </c>
      <c r="H40" s="118">
        <f>G40*D40</f>
        <v>0</v>
      </c>
      <c r="I40" s="8">
        <f>G40*Reference!$F$2</f>
        <v>2.66</v>
      </c>
      <c r="J40" s="104">
        <f>I40*D40</f>
        <v>0</v>
      </c>
      <c r="K40" s="132">
        <f t="shared" ref="K40:K41" si="5">IF(J40=0,0,(J40-H40)/J40)</f>
        <v>0</v>
      </c>
      <c r="L40" s="136"/>
      <c r="R40" s="27">
        <f>'Fixed Curtain Rep Copy'!D23</f>
        <v>0</v>
      </c>
      <c r="S40" s="28">
        <f>'Fixed Curtain Rep Copy'!E23</f>
        <v>0</v>
      </c>
      <c r="T40" s="29">
        <f t="shared" si="4"/>
        <v>0</v>
      </c>
    </row>
    <row r="41" spans="1:20" x14ac:dyDescent="0.25">
      <c r="A41" s="88" t="s">
        <v>115</v>
      </c>
      <c r="B41" s="17" t="s">
        <v>47</v>
      </c>
      <c r="C41" s="17" t="s">
        <v>47</v>
      </c>
      <c r="D41" s="103"/>
      <c r="E41" s="17" t="s">
        <v>45</v>
      </c>
      <c r="F41" s="118">
        <f>Reference!$D$41</f>
        <v>13</v>
      </c>
      <c r="G41" s="118">
        <f>IF(OR(Data!$B31="R-9",Data!$B31="R-15"),2*F41,F41)</f>
        <v>13</v>
      </c>
      <c r="H41" s="118">
        <f>G41*D41</f>
        <v>0</v>
      </c>
      <c r="I41" s="8">
        <f>G41*Reference!$F$2</f>
        <v>17.29</v>
      </c>
      <c r="J41" s="104">
        <f>I41*D41</f>
        <v>0</v>
      </c>
      <c r="K41" s="132">
        <f t="shared" si="5"/>
        <v>0</v>
      </c>
      <c r="L41" s="136"/>
      <c r="R41" s="27">
        <f>'Fixed Curtain Rep Copy'!D24</f>
        <v>0</v>
      </c>
      <c r="S41" s="28">
        <f>'Fixed Curtain Rep Copy'!E24</f>
        <v>0</v>
      </c>
      <c r="T41" s="29">
        <f t="shared" si="4"/>
        <v>0</v>
      </c>
    </row>
    <row r="42" spans="1:20" ht="15.75" thickBot="1" x14ac:dyDescent="0.3">
      <c r="A42" s="89" t="s">
        <v>46</v>
      </c>
      <c r="B42" s="18" t="s">
        <v>47</v>
      </c>
      <c r="C42" s="18" t="s">
        <v>47</v>
      </c>
      <c r="D42" s="18" t="s">
        <v>47</v>
      </c>
      <c r="E42" s="18" t="s">
        <v>47</v>
      </c>
      <c r="F42" s="120" t="s">
        <v>47</v>
      </c>
      <c r="G42" s="120" t="s">
        <v>47</v>
      </c>
      <c r="H42" s="90">
        <v>0</v>
      </c>
      <c r="I42" s="18" t="s">
        <v>47</v>
      </c>
      <c r="J42" s="141">
        <f>H42*Reference!$L$14</f>
        <v>0</v>
      </c>
      <c r="K42" s="134">
        <f>IF(H42=0,0,(J42-H42)/J42)</f>
        <v>0</v>
      </c>
      <c r="L42" s="137"/>
      <c r="R42" s="27">
        <f>'Fixed Curtain Rep Copy'!D25</f>
        <v>0</v>
      </c>
      <c r="S42" s="28">
        <f>'Fixed Curtain Rep Copy'!E25</f>
        <v>0</v>
      </c>
      <c r="T42" s="29">
        <f t="shared" si="4"/>
        <v>0</v>
      </c>
    </row>
    <row r="43" spans="1:20" ht="19.5" thickBot="1" x14ac:dyDescent="0.35">
      <c r="A43" s="84" t="s">
        <v>172</v>
      </c>
      <c r="B43" s="85">
        <f>SUM(J33:J34,J36:J42)</f>
        <v>0</v>
      </c>
      <c r="C43" s="107">
        <f>IF(Data!D33=0,0,installTime(Data!B31,Data!B33,Data!C33,Data!C34,Data!D36,Data!D37,Data!D38,Data!D41,Data!D39))</f>
        <v>0</v>
      </c>
      <c r="R43" s="27">
        <f>'Fixed Curtain Rep Copy'!D26</f>
        <v>0</v>
      </c>
      <c r="S43" s="28">
        <f>'Fixed Curtain Rep Copy'!E26</f>
        <v>0</v>
      </c>
      <c r="T43" s="29">
        <f t="shared" si="4"/>
        <v>0</v>
      </c>
    </row>
    <row r="44" spans="1:20" ht="15.75" thickBot="1" x14ac:dyDescent="0.3">
      <c r="R44" s="27">
        <f>'Fixed Curtain Rep Copy'!D27</f>
        <v>0</v>
      </c>
      <c r="S44" s="28">
        <f>'Fixed Curtain Rep Copy'!E27</f>
        <v>0</v>
      </c>
      <c r="T44" s="29">
        <f t="shared" si="4"/>
        <v>0</v>
      </c>
    </row>
    <row r="45" spans="1:20" ht="22.5" thickTop="1" thickBot="1" x14ac:dyDescent="0.4">
      <c r="A45" s="82" t="s">
        <v>135</v>
      </c>
      <c r="B45" s="82" t="s">
        <v>64</v>
      </c>
      <c r="C45" s="83" t="s">
        <v>82</v>
      </c>
      <c r="R45" s="27">
        <f>'Fixed Curtain Rep Copy'!D28</f>
        <v>0</v>
      </c>
      <c r="S45" s="28">
        <f>'Fixed Curtain Rep Copy'!E28</f>
        <v>0</v>
      </c>
      <c r="T45" s="35">
        <f t="shared" si="4"/>
        <v>0</v>
      </c>
    </row>
    <row r="46" spans="1:20" ht="18.75" x14ac:dyDescent="0.3">
      <c r="A46" s="86" t="s">
        <v>28</v>
      </c>
      <c r="B46" s="44" t="s">
        <v>29</v>
      </c>
      <c r="C46" s="44" t="s">
        <v>30</v>
      </c>
      <c r="D46" s="44" t="s">
        <v>31</v>
      </c>
      <c r="E46" s="44" t="s">
        <v>32</v>
      </c>
      <c r="F46" s="117" t="s">
        <v>33</v>
      </c>
      <c r="G46" s="117" t="s">
        <v>34</v>
      </c>
      <c r="H46" s="117" t="s">
        <v>35</v>
      </c>
      <c r="I46" s="44" t="s">
        <v>48</v>
      </c>
      <c r="J46" s="44" t="s">
        <v>36</v>
      </c>
      <c r="K46" s="44" t="s">
        <v>37</v>
      </c>
      <c r="L46" s="87" t="s">
        <v>38</v>
      </c>
      <c r="R46" s="27">
        <f>'Fixed Curtain Rep Copy'!D29</f>
        <v>0</v>
      </c>
      <c r="S46" s="28">
        <f>'Fixed Curtain Rep Copy'!E29</f>
        <v>0</v>
      </c>
      <c r="T46" s="38">
        <f t="shared" si="4"/>
        <v>0</v>
      </c>
    </row>
    <row r="47" spans="1:20" x14ac:dyDescent="0.25">
      <c r="A47" s="88" t="s">
        <v>40</v>
      </c>
      <c r="B47" s="91"/>
      <c r="C47" s="91"/>
      <c r="D47" s="103">
        <f>Data!B47*Data!C47</f>
        <v>0</v>
      </c>
      <c r="E47" s="17" t="s">
        <v>44</v>
      </c>
      <c r="F47" s="121">
        <f>_xlfn.SWITCH(Data!$B45,"R-3",Reference!$D$2,"R-6",Reference!$D$3,"R-9",Reference!$D$4,"R-15",Reference!$D$5,Reference!$A$6,Reference!$D$6,Reference!$A$7,Reference!$D$7, "R-#",0)</f>
        <v>0</v>
      </c>
      <c r="G47" s="118">
        <f>F47</f>
        <v>0</v>
      </c>
      <c r="H47" s="118">
        <f>G47*D47</f>
        <v>0</v>
      </c>
      <c r="I47" s="8">
        <f>G47*Reference!$F$2</f>
        <v>0</v>
      </c>
      <c r="J47" s="104">
        <f>I47*D47</f>
        <v>0</v>
      </c>
      <c r="K47" s="132">
        <f>IF(J47=0,0,(J47-H47)/J47)</f>
        <v>0</v>
      </c>
      <c r="L47" s="135"/>
      <c r="R47" s="27">
        <f>'Fixed Curtain Rep Copy'!D30</f>
        <v>0</v>
      </c>
      <c r="S47" s="28">
        <f>'Fixed Curtain Rep Copy'!E30</f>
        <v>0</v>
      </c>
      <c r="T47" s="38">
        <f t="shared" si="4"/>
        <v>0</v>
      </c>
    </row>
    <row r="48" spans="1:20" x14ac:dyDescent="0.25">
      <c r="A48" s="88" t="s">
        <v>39</v>
      </c>
      <c r="B48" s="123"/>
      <c r="C48" s="123"/>
      <c r="D48" s="124">
        <f>Data!B48*Data!C48</f>
        <v>0</v>
      </c>
      <c r="E48" s="62" t="s">
        <v>44</v>
      </c>
      <c r="F48" s="125">
        <f>_xlfn.SWITCH(Data!$B45,"R-3",Reference!$D$11,"R-6",Reference!$D$12,"R-9",2*Reference!$D$11,"R-15",2*Reference!$D$12,Reference!$A$6,Reference!$D$9,Reference!$A$7,Reference!$D$10, "R-#",0)</f>
        <v>0</v>
      </c>
      <c r="G48" s="126">
        <f>F48</f>
        <v>0</v>
      </c>
      <c r="H48" s="126">
        <f>G48*D48</f>
        <v>0</v>
      </c>
      <c r="I48" s="63">
        <f>G48*Reference!$F$2</f>
        <v>0</v>
      </c>
      <c r="J48" s="127">
        <f>I48*D48</f>
        <v>0</v>
      </c>
      <c r="K48" s="133">
        <f>IF(J48=0,0,(J48-H48)/J48)</f>
        <v>0</v>
      </c>
      <c r="L48" s="136"/>
      <c r="R48" s="27">
        <f>'Fixed Curtain Rep Copy'!D31</f>
        <v>0</v>
      </c>
      <c r="S48" s="28">
        <f>'Fixed Curtain Rep Copy'!E31</f>
        <v>0</v>
      </c>
      <c r="T48" s="38">
        <f t="shared" si="4"/>
        <v>0</v>
      </c>
    </row>
    <row r="49" spans="1:22" ht="19.5" thickBot="1" x14ac:dyDescent="0.35">
      <c r="A49" s="122" t="s">
        <v>22</v>
      </c>
      <c r="B49" s="115"/>
      <c r="C49" s="116"/>
      <c r="D49" s="116"/>
      <c r="E49" s="116"/>
      <c r="F49" s="119"/>
      <c r="G49" s="119"/>
      <c r="H49" s="119"/>
      <c r="I49" s="116"/>
      <c r="J49" s="116"/>
      <c r="K49" s="116"/>
      <c r="L49" s="136"/>
      <c r="R49" s="182">
        <f>'Fixed Curtain Rep Copy'!D32</f>
        <v>0</v>
      </c>
      <c r="S49" s="183">
        <f>'Fixed Curtain Rep Copy'!E32</f>
        <v>0</v>
      </c>
      <c r="T49" s="41">
        <f t="shared" si="4"/>
        <v>0</v>
      </c>
    </row>
    <row r="50" spans="1:22" x14ac:dyDescent="0.25">
      <c r="A50" s="88" t="s">
        <v>112</v>
      </c>
      <c r="B50" s="128" t="s">
        <v>47</v>
      </c>
      <c r="C50" s="128" t="s">
        <v>47</v>
      </c>
      <c r="D50" s="129"/>
      <c r="E50" s="128" t="s">
        <v>47</v>
      </c>
      <c r="F50" s="130" t="s">
        <v>47</v>
      </c>
      <c r="G50" s="130" t="s">
        <v>47</v>
      </c>
      <c r="H50" s="131">
        <v>0</v>
      </c>
      <c r="I50" s="128" t="s">
        <v>47</v>
      </c>
      <c r="J50" s="104">
        <f>H50*Reference!$L$14</f>
        <v>0</v>
      </c>
      <c r="K50" s="132">
        <f>IF(H50=0,0,(J50-H50)/J50)</f>
        <v>0</v>
      </c>
      <c r="L50" s="136"/>
    </row>
    <row r="51" spans="1:22" ht="15.75" thickBot="1" x14ac:dyDescent="0.3">
      <c r="A51" s="88" t="s">
        <v>42</v>
      </c>
      <c r="B51" s="17" t="s">
        <v>47</v>
      </c>
      <c r="C51" s="17" t="s">
        <v>47</v>
      </c>
      <c r="D51" s="91"/>
      <c r="E51" s="17" t="s">
        <v>47</v>
      </c>
      <c r="F51" s="113" t="s">
        <v>47</v>
      </c>
      <c r="G51" s="113" t="s">
        <v>47</v>
      </c>
      <c r="H51" s="46">
        <v>0</v>
      </c>
      <c r="I51" s="17" t="s">
        <v>47</v>
      </c>
      <c r="J51" s="104">
        <f>H51*Reference!$L$14</f>
        <v>0</v>
      </c>
      <c r="K51" s="132">
        <f>IF(H51=0,0,(J51-H51)/J51)</f>
        <v>0</v>
      </c>
      <c r="L51" s="136"/>
    </row>
    <row r="52" spans="1:22" ht="21" x14ac:dyDescent="0.35">
      <c r="A52" s="88" t="s">
        <v>41</v>
      </c>
      <c r="B52" s="17" t="s">
        <v>47</v>
      </c>
      <c r="C52" s="17" t="s">
        <v>47</v>
      </c>
      <c r="D52" s="103">
        <v>0</v>
      </c>
      <c r="E52" s="17" t="s">
        <v>45</v>
      </c>
      <c r="F52" s="118">
        <f>Reference!$D$8</f>
        <v>2.4975000000000005</v>
      </c>
      <c r="G52" s="118">
        <f>IF(OR(Data!$B45="R-9",Data!$B45="R-15"),2*Data!F52,Data!F52)</f>
        <v>2.4975000000000005</v>
      </c>
      <c r="H52" s="118">
        <f>G52*D52</f>
        <v>0</v>
      </c>
      <c r="I52" s="8">
        <f>G52*Reference!$F$2</f>
        <v>3.3216750000000008</v>
      </c>
      <c r="J52" s="104">
        <f>I52*D52</f>
        <v>0</v>
      </c>
      <c r="K52" s="132">
        <f>IF(J52=0,0,(J52-H52)/J52)</f>
        <v>0</v>
      </c>
      <c r="L52" s="136"/>
      <c r="O52" s="72" t="s">
        <v>137</v>
      </c>
      <c r="P52" s="73" t="s">
        <v>31</v>
      </c>
      <c r="Q52" s="111" t="s">
        <v>33</v>
      </c>
      <c r="R52" s="111" t="s">
        <v>35</v>
      </c>
      <c r="S52" s="73" t="s">
        <v>138</v>
      </c>
      <c r="T52" s="73" t="s">
        <v>139</v>
      </c>
      <c r="U52" s="73" t="s">
        <v>37</v>
      </c>
      <c r="V52" s="74" t="s">
        <v>38</v>
      </c>
    </row>
    <row r="53" spans="1:22" x14ac:dyDescent="0.25">
      <c r="A53" s="88" t="s">
        <v>113</v>
      </c>
      <c r="B53" s="17" t="s">
        <v>47</v>
      </c>
      <c r="C53" s="17" t="s">
        <v>47</v>
      </c>
      <c r="D53" s="200"/>
      <c r="E53" s="17" t="s">
        <v>72</v>
      </c>
      <c r="F53" s="113" t="s">
        <v>47</v>
      </c>
      <c r="G53" s="113" t="s">
        <v>47</v>
      </c>
      <c r="H53" s="46">
        <v>0</v>
      </c>
      <c r="I53" s="17" t="s">
        <v>47</v>
      </c>
      <c r="J53" s="104">
        <f>H53*Reference!$L$14</f>
        <v>0</v>
      </c>
      <c r="K53" s="132">
        <f>IF(H53=0,0,(J53-H53)/J53)</f>
        <v>0</v>
      </c>
      <c r="L53" s="136"/>
      <c r="O53" s="98" t="s">
        <v>140</v>
      </c>
      <c r="P53" s="80"/>
      <c r="Q53" s="112">
        <f>Reference!$D$36</f>
        <v>25</v>
      </c>
      <c r="R53" s="112">
        <v>0</v>
      </c>
      <c r="S53" s="76">
        <f>Q53*Reference!$F$2</f>
        <v>33.25</v>
      </c>
      <c r="T53" s="92">
        <f>S53*P53</f>
        <v>0</v>
      </c>
      <c r="U53" s="77">
        <f>IF(P53=0,0,(T53-R53)/T53)</f>
        <v>0</v>
      </c>
      <c r="V53" s="138"/>
    </row>
    <row r="54" spans="1:22" x14ac:dyDescent="0.25">
      <c r="A54" s="88" t="s">
        <v>114</v>
      </c>
      <c r="B54" s="17" t="s">
        <v>47</v>
      </c>
      <c r="C54" s="17" t="s">
        <v>47</v>
      </c>
      <c r="D54" s="91"/>
      <c r="E54" s="17" t="s">
        <v>89</v>
      </c>
      <c r="F54" s="118">
        <f>Reference!$D$40</f>
        <v>2</v>
      </c>
      <c r="G54" s="118">
        <f>IF(OR(Data!$B45="R-9",Data!$B45="R-15"),2*F54,F54)</f>
        <v>2</v>
      </c>
      <c r="H54" s="118">
        <f>G54*D54</f>
        <v>0</v>
      </c>
      <c r="I54" s="8">
        <f>G54*Reference!$F$2</f>
        <v>2.66</v>
      </c>
      <c r="J54" s="104">
        <f>I54*D54</f>
        <v>0</v>
      </c>
      <c r="K54" s="132">
        <f t="shared" ref="K54:K55" si="6">IF(J54=0,0,(J54-H54)/J54)</f>
        <v>0</v>
      </c>
      <c r="L54" s="136"/>
      <c r="O54" s="98" t="s">
        <v>141</v>
      </c>
      <c r="P54" s="80"/>
      <c r="Q54" s="112">
        <f>Reference!$D$37</f>
        <v>80</v>
      </c>
      <c r="R54" s="112">
        <f t="shared" ref="R54:R59" si="7">P54*Q54</f>
        <v>0</v>
      </c>
      <c r="S54" s="76">
        <f>Q54*Reference!$F$2</f>
        <v>106.4</v>
      </c>
      <c r="T54" s="92">
        <f t="shared" ref="T54:T56" si="8">S54*P54</f>
        <v>0</v>
      </c>
      <c r="U54" s="77">
        <f t="shared" ref="U54:U56" si="9">IF(P54=0,0,(T54-R54)/T54)</f>
        <v>0</v>
      </c>
      <c r="V54" s="139"/>
    </row>
    <row r="55" spans="1:22" x14ac:dyDescent="0.25">
      <c r="A55" s="88" t="s">
        <v>115</v>
      </c>
      <c r="B55" s="17" t="s">
        <v>47</v>
      </c>
      <c r="C55" s="17" t="s">
        <v>47</v>
      </c>
      <c r="D55" s="103"/>
      <c r="E55" s="17" t="s">
        <v>45</v>
      </c>
      <c r="F55" s="118">
        <f>Reference!$D$41</f>
        <v>13</v>
      </c>
      <c r="G55" s="118">
        <f>IF(OR(Data!$B45="R-9",Data!$B45="R-15"),2*F55,F55)</f>
        <v>13</v>
      </c>
      <c r="H55" s="118">
        <f>G55*D55</f>
        <v>0</v>
      </c>
      <c r="I55" s="8">
        <f>G55*Reference!$F$2</f>
        <v>17.29</v>
      </c>
      <c r="J55" s="104">
        <f>I55*D55</f>
        <v>0</v>
      </c>
      <c r="K55" s="132">
        <f t="shared" si="6"/>
        <v>0</v>
      </c>
      <c r="L55" s="136"/>
      <c r="O55" s="98" t="s">
        <v>142</v>
      </c>
      <c r="P55" s="80"/>
      <c r="Q55" s="112">
        <f>Reference!$D$38</f>
        <v>30</v>
      </c>
      <c r="R55" s="112">
        <f t="shared" si="7"/>
        <v>0</v>
      </c>
      <c r="S55" s="76">
        <f>Q55*Reference!$F$2</f>
        <v>39.900000000000006</v>
      </c>
      <c r="T55" s="92">
        <f t="shared" si="8"/>
        <v>0</v>
      </c>
      <c r="U55" s="77">
        <f t="shared" si="9"/>
        <v>0</v>
      </c>
      <c r="V55" s="139"/>
    </row>
    <row r="56" spans="1:22" ht="15.75" thickBot="1" x14ac:dyDescent="0.3">
      <c r="A56" s="89" t="s">
        <v>46</v>
      </c>
      <c r="B56" s="18" t="s">
        <v>47</v>
      </c>
      <c r="C56" s="18" t="s">
        <v>47</v>
      </c>
      <c r="D56" s="18" t="s">
        <v>47</v>
      </c>
      <c r="E56" s="18" t="s">
        <v>47</v>
      </c>
      <c r="F56" s="120" t="s">
        <v>47</v>
      </c>
      <c r="G56" s="120" t="s">
        <v>47</v>
      </c>
      <c r="H56" s="90">
        <v>0</v>
      </c>
      <c r="I56" s="18" t="s">
        <v>47</v>
      </c>
      <c r="J56" s="141">
        <f>H56*Reference!$L$14</f>
        <v>0</v>
      </c>
      <c r="K56" s="134">
        <f>IF(H56=0,0,(J56-H56)/J56)</f>
        <v>0</v>
      </c>
      <c r="L56" s="137"/>
      <c r="O56" s="98" t="s">
        <v>143</v>
      </c>
      <c r="P56" s="80"/>
      <c r="Q56" s="112">
        <f>Reference!$D$39</f>
        <v>30</v>
      </c>
      <c r="R56" s="112">
        <f t="shared" si="7"/>
        <v>0</v>
      </c>
      <c r="S56" s="76">
        <f>Q56*Reference!$F$2</f>
        <v>39.900000000000006</v>
      </c>
      <c r="T56" s="92">
        <f t="shared" si="8"/>
        <v>0</v>
      </c>
      <c r="U56" s="77">
        <f t="shared" si="9"/>
        <v>0</v>
      </c>
      <c r="V56" s="139"/>
    </row>
    <row r="57" spans="1:22" ht="19.5" thickBot="1" x14ac:dyDescent="0.35">
      <c r="A57" s="84" t="s">
        <v>171</v>
      </c>
      <c r="B57" s="85">
        <f>SUM(J47:J48,J50:J56)</f>
        <v>0</v>
      </c>
      <c r="C57" s="107">
        <f>IF(Data!D47=0,0,installTime(Data!B45,Data!B47,Data!C47,Data!C48,Data!D50,Data!D51,Data!D52,Data!D55,Data!D53))</f>
        <v>0</v>
      </c>
      <c r="O57" s="98" t="s">
        <v>145</v>
      </c>
      <c r="P57" s="17"/>
      <c r="Q57" s="113" t="s">
        <v>47</v>
      </c>
      <c r="R57" s="81">
        <v>0</v>
      </c>
      <c r="S57" s="76" t="s">
        <v>47</v>
      </c>
      <c r="T57" s="145">
        <f>R57*Reference!$L$14</f>
        <v>0</v>
      </c>
      <c r="U57" s="77">
        <f>IF(R57=0,0,(T57-R57)/T57)</f>
        <v>0</v>
      </c>
      <c r="V57" s="139"/>
    </row>
    <row r="58" spans="1:22" ht="15.75" thickBot="1" x14ac:dyDescent="0.3">
      <c r="O58" s="98" t="s">
        <v>155</v>
      </c>
      <c r="P58" s="91"/>
      <c r="Q58" s="112">
        <f>Reference!$D$44</f>
        <v>3950</v>
      </c>
      <c r="R58" s="112">
        <f t="shared" si="7"/>
        <v>0</v>
      </c>
      <c r="S58" s="76">
        <f>Q58*Reference!$F$2</f>
        <v>5253.5</v>
      </c>
      <c r="T58" s="92">
        <f>P58*S58</f>
        <v>0</v>
      </c>
      <c r="U58" s="77">
        <f t="shared" ref="U58:U59" si="10">IF(R58=0,0,(T58-R58)/T58)</f>
        <v>0</v>
      </c>
      <c r="V58" s="139"/>
    </row>
    <row r="59" spans="1:22" ht="22.5" thickTop="1" thickBot="1" x14ac:dyDescent="0.4">
      <c r="A59" s="82" t="s">
        <v>136</v>
      </c>
      <c r="B59" s="82" t="s">
        <v>64</v>
      </c>
      <c r="C59" s="83" t="s">
        <v>82</v>
      </c>
      <c r="O59" s="99" t="s">
        <v>154</v>
      </c>
      <c r="P59" s="93"/>
      <c r="Q59" s="114">
        <f>Reference!$D$43</f>
        <v>4600</v>
      </c>
      <c r="R59" s="114">
        <f t="shared" si="7"/>
        <v>0</v>
      </c>
      <c r="S59" s="96">
        <f>Q59*Reference!$F$2</f>
        <v>6118</v>
      </c>
      <c r="T59" s="95">
        <f>P59*S59</f>
        <v>0</v>
      </c>
      <c r="U59" s="78">
        <f t="shared" si="10"/>
        <v>0</v>
      </c>
      <c r="V59" s="140"/>
    </row>
    <row r="60" spans="1:22" ht="19.5" thickBot="1" x14ac:dyDescent="0.35">
      <c r="A60" s="86" t="s">
        <v>28</v>
      </c>
      <c r="B60" s="44" t="s">
        <v>29</v>
      </c>
      <c r="C60" s="44" t="s">
        <v>30</v>
      </c>
      <c r="D60" s="44" t="s">
        <v>31</v>
      </c>
      <c r="E60" s="44" t="s">
        <v>32</v>
      </c>
      <c r="F60" s="117" t="s">
        <v>33</v>
      </c>
      <c r="G60" s="117" t="s">
        <v>34</v>
      </c>
      <c r="H60" s="117" t="s">
        <v>35</v>
      </c>
      <c r="I60" s="44" t="s">
        <v>48</v>
      </c>
      <c r="J60" s="44" t="s">
        <v>36</v>
      </c>
      <c r="K60" s="44" t="s">
        <v>37</v>
      </c>
      <c r="L60" s="87" t="s">
        <v>38</v>
      </c>
      <c r="O60" s="184" t="s">
        <v>144</v>
      </c>
      <c r="P60" s="100">
        <f>SUM(T53:T59)</f>
        <v>0</v>
      </c>
      <c r="Q60"/>
      <c r="R60"/>
      <c r="S60" s="79"/>
      <c r="T60" s="79"/>
      <c r="U60" s="79"/>
    </row>
    <row r="61" spans="1:22" x14ac:dyDescent="0.25">
      <c r="A61" s="88" t="s">
        <v>40</v>
      </c>
      <c r="B61" s="91"/>
      <c r="C61" s="91"/>
      <c r="D61" s="103">
        <f>Data!B61*Data!C61</f>
        <v>0</v>
      </c>
      <c r="E61" s="17" t="s">
        <v>44</v>
      </c>
      <c r="F61" s="121">
        <f>_xlfn.SWITCH(Data!$B59,"R-3",Reference!$D$2,"R-6",Reference!$D$3,"R-9",Reference!$D$4,"R-15",Reference!$D$5,Reference!$A$6,Reference!$D$6,Reference!$A$7,Reference!$D$7, "R-#",0)</f>
        <v>0</v>
      </c>
      <c r="G61" s="118">
        <f>F61</f>
        <v>0</v>
      </c>
      <c r="H61" s="118">
        <f>G61*D61</f>
        <v>0</v>
      </c>
      <c r="I61" s="8">
        <f>G61*Reference!$F$2</f>
        <v>0</v>
      </c>
      <c r="J61" s="104">
        <f>I61*D61</f>
        <v>0</v>
      </c>
      <c r="K61" s="132">
        <f>IF(J61=0,0,(J61-H61)/J61)</f>
        <v>0</v>
      </c>
      <c r="L61" s="135"/>
    </row>
    <row r="62" spans="1:22" x14ac:dyDescent="0.25">
      <c r="A62" s="88" t="s">
        <v>39</v>
      </c>
      <c r="B62" s="123"/>
      <c r="C62" s="123"/>
      <c r="D62" s="124">
        <f>Data!B62*Data!C62</f>
        <v>0</v>
      </c>
      <c r="E62" s="62" t="s">
        <v>44</v>
      </c>
      <c r="F62" s="125">
        <f>_xlfn.SWITCH(Data!$B59,"R-3",Reference!$D$11,"R-6",Reference!$D$12,"R-9",2*Reference!$D$11,"R-15",2*Reference!$D$12,Reference!$A$6,Reference!$D$9,Reference!$A$7,Reference!$D$10, "R-#",0)</f>
        <v>0</v>
      </c>
      <c r="G62" s="126">
        <f>F62</f>
        <v>0</v>
      </c>
      <c r="H62" s="126">
        <f>G62*D62</f>
        <v>0</v>
      </c>
      <c r="I62" s="63">
        <f>G62*Reference!$F$2</f>
        <v>0</v>
      </c>
      <c r="J62" s="127">
        <f>I62*D62</f>
        <v>0</v>
      </c>
      <c r="K62" s="133">
        <f>IF(J62=0,0,(J62-H62)/J62)</f>
        <v>0</v>
      </c>
      <c r="L62" s="136"/>
    </row>
    <row r="63" spans="1:22" ht="18.75" x14ac:dyDescent="0.3">
      <c r="A63" s="122" t="s">
        <v>22</v>
      </c>
      <c r="B63" s="115"/>
      <c r="C63" s="116"/>
      <c r="D63" s="116"/>
      <c r="E63" s="116"/>
      <c r="F63" s="119"/>
      <c r="G63" s="119"/>
      <c r="H63" s="119"/>
      <c r="I63" s="116"/>
      <c r="J63" s="116"/>
      <c r="K63" s="116"/>
      <c r="L63" s="136"/>
    </row>
    <row r="64" spans="1:22" x14ac:dyDescent="0.25">
      <c r="A64" s="88" t="s">
        <v>112</v>
      </c>
      <c r="B64" s="128" t="s">
        <v>47</v>
      </c>
      <c r="C64" s="128" t="s">
        <v>47</v>
      </c>
      <c r="D64" s="129"/>
      <c r="E64" s="128" t="s">
        <v>47</v>
      </c>
      <c r="F64" s="130" t="s">
        <v>47</v>
      </c>
      <c r="G64" s="130" t="s">
        <v>47</v>
      </c>
      <c r="H64" s="131">
        <v>0</v>
      </c>
      <c r="I64" s="128" t="s">
        <v>47</v>
      </c>
      <c r="J64" s="104">
        <f>H64*Reference!$L$14</f>
        <v>0</v>
      </c>
      <c r="K64" s="132">
        <f>IF(H64=0,0,(J64-H64)/J64)</f>
        <v>0</v>
      </c>
      <c r="L64" s="136"/>
    </row>
    <row r="65" spans="1:12" x14ac:dyDescent="0.25">
      <c r="A65" s="88" t="s">
        <v>42</v>
      </c>
      <c r="B65" s="17" t="s">
        <v>47</v>
      </c>
      <c r="C65" s="17" t="s">
        <v>47</v>
      </c>
      <c r="D65" s="91"/>
      <c r="E65" s="17" t="s">
        <v>47</v>
      </c>
      <c r="F65" s="113" t="s">
        <v>47</v>
      </c>
      <c r="G65" s="113" t="s">
        <v>47</v>
      </c>
      <c r="H65" s="46">
        <v>0</v>
      </c>
      <c r="I65" s="17" t="s">
        <v>47</v>
      </c>
      <c r="J65" s="104">
        <f>H65*Reference!$L$14</f>
        <v>0</v>
      </c>
      <c r="K65" s="132">
        <f>IF(H65=0,0,(J65-H65)/J65)</f>
        <v>0</v>
      </c>
      <c r="L65" s="136"/>
    </row>
    <row r="66" spans="1:12" x14ac:dyDescent="0.25">
      <c r="A66" s="88" t="s">
        <v>41</v>
      </c>
      <c r="B66" s="17" t="s">
        <v>47</v>
      </c>
      <c r="C66" s="17" t="s">
        <v>47</v>
      </c>
      <c r="D66" s="103">
        <v>0</v>
      </c>
      <c r="E66" s="17" t="s">
        <v>45</v>
      </c>
      <c r="F66" s="118">
        <f>Reference!$D$8</f>
        <v>2.4975000000000005</v>
      </c>
      <c r="G66" s="118">
        <f>IF(OR(Data!$B59="R-9",Data!$B59="R-15"),2*Data!F66,Data!F66)</f>
        <v>2.4975000000000005</v>
      </c>
      <c r="H66" s="118">
        <f>G66*D66</f>
        <v>0</v>
      </c>
      <c r="I66" s="8">
        <f>G66*Reference!$F$2</f>
        <v>3.3216750000000008</v>
      </c>
      <c r="J66" s="104">
        <f>I66*D66</f>
        <v>0</v>
      </c>
      <c r="K66" s="132">
        <f>IF(J66=0,0,(J66-H66)/J66)</f>
        <v>0</v>
      </c>
      <c r="L66" s="136"/>
    </row>
    <row r="67" spans="1:12" x14ac:dyDescent="0.25">
      <c r="A67" s="88" t="s">
        <v>113</v>
      </c>
      <c r="B67" s="17" t="s">
        <v>47</v>
      </c>
      <c r="C67" s="17" t="s">
        <v>47</v>
      </c>
      <c r="D67" s="200"/>
      <c r="E67" s="17" t="s">
        <v>72</v>
      </c>
      <c r="F67" s="113" t="s">
        <v>47</v>
      </c>
      <c r="G67" s="113" t="s">
        <v>47</v>
      </c>
      <c r="H67" s="46">
        <v>0</v>
      </c>
      <c r="I67" s="17" t="s">
        <v>47</v>
      </c>
      <c r="J67" s="104">
        <f>H67*Reference!$L$14</f>
        <v>0</v>
      </c>
      <c r="K67" s="132">
        <f>IF(H67=0,0,(J67-H67)/J67)</f>
        <v>0</v>
      </c>
      <c r="L67" s="136"/>
    </row>
    <row r="68" spans="1:12" x14ac:dyDescent="0.25">
      <c r="A68" s="88" t="s">
        <v>114</v>
      </c>
      <c r="B68" s="17" t="s">
        <v>47</v>
      </c>
      <c r="C68" s="17" t="s">
        <v>47</v>
      </c>
      <c r="D68" s="91"/>
      <c r="E68" s="17" t="s">
        <v>89</v>
      </c>
      <c r="F68" s="118">
        <f>Reference!$D$40</f>
        <v>2</v>
      </c>
      <c r="G68" s="118">
        <f>IF(OR(Data!$B59="R-9",Data!$B59="R-15"),2*F68,F68)</f>
        <v>2</v>
      </c>
      <c r="H68" s="118">
        <f>G68*D68</f>
        <v>0</v>
      </c>
      <c r="I68" s="8">
        <f>G68*Reference!$F$2</f>
        <v>2.66</v>
      </c>
      <c r="J68" s="104">
        <f>I68*D68</f>
        <v>0</v>
      </c>
      <c r="K68" s="132">
        <f t="shared" ref="K68:K69" si="11">IF(J68=0,0,(J68-H68)/J68)</f>
        <v>0</v>
      </c>
      <c r="L68" s="136"/>
    </row>
    <row r="69" spans="1:12" x14ac:dyDescent="0.25">
      <c r="A69" s="88" t="s">
        <v>115</v>
      </c>
      <c r="B69" s="17" t="s">
        <v>47</v>
      </c>
      <c r="C69" s="17" t="s">
        <v>47</v>
      </c>
      <c r="D69" s="103"/>
      <c r="E69" s="17" t="s">
        <v>45</v>
      </c>
      <c r="F69" s="118">
        <f>Reference!$D$41</f>
        <v>13</v>
      </c>
      <c r="G69" s="118">
        <f>IF(OR(Data!$B59="R-9",Data!$B59="R-15"),2*F69,F69)</f>
        <v>13</v>
      </c>
      <c r="H69" s="118">
        <f>G69*D69</f>
        <v>0</v>
      </c>
      <c r="I69" s="8">
        <f>G69*Reference!$F$2</f>
        <v>17.29</v>
      </c>
      <c r="J69" s="104">
        <f>I69*D69</f>
        <v>0</v>
      </c>
      <c r="K69" s="132">
        <f t="shared" si="11"/>
        <v>0</v>
      </c>
      <c r="L69" s="136"/>
    </row>
    <row r="70" spans="1:12" ht="15.75" thickBot="1" x14ac:dyDescent="0.3">
      <c r="A70" s="89" t="s">
        <v>46</v>
      </c>
      <c r="B70" s="18" t="s">
        <v>47</v>
      </c>
      <c r="C70" s="18" t="s">
        <v>47</v>
      </c>
      <c r="D70" s="18" t="s">
        <v>47</v>
      </c>
      <c r="E70" s="18" t="s">
        <v>47</v>
      </c>
      <c r="F70" s="120" t="s">
        <v>47</v>
      </c>
      <c r="G70" s="120" t="s">
        <v>47</v>
      </c>
      <c r="H70" s="90">
        <v>0</v>
      </c>
      <c r="I70" s="18" t="s">
        <v>47</v>
      </c>
      <c r="J70" s="141">
        <f>H70*Reference!$L$14</f>
        <v>0</v>
      </c>
      <c r="K70" s="134">
        <f>IF(H70=0,0,(J70-H70)/J70)</f>
        <v>0</v>
      </c>
      <c r="L70" s="137"/>
    </row>
    <row r="71" spans="1:12" ht="19.5" thickBot="1" x14ac:dyDescent="0.35">
      <c r="A71" s="84" t="s">
        <v>170</v>
      </c>
      <c r="B71" s="85">
        <f>SUM(J61:J62,J64:J70)</f>
        <v>0</v>
      </c>
      <c r="C71" s="107">
        <f>IF(Data!D61=0,0,installTime(Data!B59,Data!B61,Data!C61,Data!C62,Data!D64,Data!D65,Data!D66,Data!D69))</f>
        <v>0</v>
      </c>
    </row>
  </sheetData>
  <dataConsolidate/>
  <mergeCells count="4">
    <mergeCell ref="R11:U11"/>
    <mergeCell ref="R13:U13"/>
    <mergeCell ref="S19:T19"/>
    <mergeCell ref="S36:T36"/>
  </mergeCells>
  <dataValidations count="5">
    <dataValidation type="whole" operator="greaterThanOrEqual" allowBlank="1" showInputMessage="1" showErrorMessage="1" sqref="D8:D9 D12 D36:D37 X21 D40 D50:D51 P53:P56 P58:P59 D22:D23 D26 D54 D64:D65 D68">
      <formula1>0</formula1>
    </dataValidation>
    <dataValidation operator="greaterThanOrEqual" allowBlank="1" showInputMessage="1" showErrorMessage="1" sqref="R60 Q58:Q60 P60"/>
    <dataValidation type="decimal" operator="greaterThanOrEqual" allowBlank="1" showInputMessage="1" showErrorMessage="1" sqref="B5:C6 H8:H9 H11 H14 B19:C20 H22:H23 H25 X20 B33:C34 H36:H37 B47:C48 H50:H51 H53 H56 B52:C52 B10:C10 H28 H39 B24:C24 H42 B38:C38 B61:C62 H64:H65 H67 H70 B66:C66 C2">
      <formula1>0</formula1>
    </dataValidation>
    <dataValidation type="whole" operator="greaterThanOrEqual" allowBlank="1" showInputMessage="1" showErrorMessage="1" sqref="X19">
      <formula1>2</formula1>
    </dataValidation>
    <dataValidation type="whole" allowBlank="1" showInputMessage="1" showErrorMessage="1" sqref="X22:X23 X27">
      <formula1>0</formula1>
      <formula2>1</formula2>
    </dataValidation>
  </dataValidations>
  <pageMargins left="0.7" right="0.7" top="0.75" bottom="0.75" header="0.3" footer="0.3"/>
  <pageSetup orientation="portrait" verticalDpi="0" r:id="rId1"/>
  <ignoredErrors>
    <ignoredError sqref="J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_xludf.Hide">
                <anchor moveWithCells="1" sizeWithCells="1">
                  <from>
                    <xdr:col>14</xdr:col>
                    <xdr:colOff>0</xdr:colOff>
                    <xdr:row>1</xdr:row>
                    <xdr:rowOff>57150</xdr:rowOff>
                  </from>
                  <to>
                    <xdr:col>14</xdr:col>
                    <xdr:colOff>1438275</xdr:colOff>
                    <xdr:row>3</xdr:row>
                    <xdr:rowOff>38100</xdr:rowOff>
                  </to>
                </anchor>
              </controlPr>
            </control>
          </mc:Choice>
        </mc:AlternateContent>
        <mc:AlternateContent xmlns:mc="http://schemas.openxmlformats.org/markup-compatibility/2006">
          <mc:Choice Requires="x14">
            <control shapeId="2050" r:id="rId5" name="Button 2">
              <controlPr defaultSize="0" print="0" autoFill="0" autoPict="0" macro="[0]!_xludf.Unhide">
                <anchor moveWithCells="1" sizeWithCells="1">
                  <from>
                    <xdr:col>14</xdr:col>
                    <xdr:colOff>9525</xdr:colOff>
                    <xdr:row>3</xdr:row>
                    <xdr:rowOff>238125</xdr:rowOff>
                  </from>
                  <to>
                    <xdr:col>14</xdr:col>
                    <xdr:colOff>1457325</xdr:colOff>
                    <xdr:row>6</xdr:row>
                    <xdr:rowOff>66675</xdr:rowOff>
                  </to>
                </anchor>
              </controlPr>
            </control>
          </mc:Choice>
        </mc:AlternateContent>
        <mc:AlternateContent xmlns:mc="http://schemas.openxmlformats.org/markup-compatibility/2006">
          <mc:Choice Requires="x14">
            <control shapeId="2051" r:id="rId6" name="Button 3">
              <controlPr defaultSize="0" print="0" autoFill="0" autoPict="0" macro="[0]!Modify" altText="Edit Quote in Pricer Form">
                <anchor moveWithCells="1" sizeWithCells="1">
                  <from>
                    <xdr:col>14</xdr:col>
                    <xdr:colOff>0</xdr:colOff>
                    <xdr:row>7</xdr:row>
                    <xdr:rowOff>104775</xdr:rowOff>
                  </from>
                  <to>
                    <xdr:col>14</xdr:col>
                    <xdr:colOff>1457325</xdr:colOff>
                    <xdr:row>9</xdr:row>
                    <xdr:rowOff>95250</xdr:rowOff>
                  </to>
                </anchor>
              </controlPr>
            </control>
          </mc:Choice>
        </mc:AlternateContent>
        <mc:AlternateContent xmlns:mc="http://schemas.openxmlformats.org/markup-compatibility/2006">
          <mc:Choice Requires="x14">
            <control shapeId="2054" r:id="rId7" name="Button 6">
              <controlPr defaultSize="0" print="0" autoFill="0" autoPict="0" macro="[0]!Populate">
                <anchor moveWithCells="1" sizeWithCells="1">
                  <from>
                    <xdr:col>14</xdr:col>
                    <xdr:colOff>9525</xdr:colOff>
                    <xdr:row>11</xdr:row>
                    <xdr:rowOff>9525</xdr:rowOff>
                  </from>
                  <to>
                    <xdr:col>14</xdr:col>
                    <xdr:colOff>1438275</xdr:colOff>
                    <xdr:row>12</xdr:row>
                    <xdr:rowOff>180975</xdr:rowOff>
                  </to>
                </anchor>
              </controlPr>
            </control>
          </mc:Choice>
        </mc:AlternateContent>
        <mc:AlternateContent xmlns:mc="http://schemas.openxmlformats.org/markup-compatibility/2006">
          <mc:Choice Requires="x14">
            <control shapeId="2055" r:id="rId8" name="Button 7">
              <controlPr defaultSize="0" print="0" autoFill="0" autoPict="0" macro="[0]!Reset">
                <anchor moveWithCells="1" sizeWithCells="1">
                  <from>
                    <xdr:col>14</xdr:col>
                    <xdr:colOff>19050</xdr:colOff>
                    <xdr:row>14</xdr:row>
                    <xdr:rowOff>47625</xdr:rowOff>
                  </from>
                  <to>
                    <xdr:col>14</xdr:col>
                    <xdr:colOff>1447800</xdr:colOff>
                    <xdr:row>16</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'Drop Down'!$H$2:$H$3</xm:f>
          </x14:formula1>
          <xm:sqref>C3 C31 C45 C17 C59</xm:sqref>
        </x14:dataValidation>
        <x14:dataValidation type="list" allowBlank="1" showInputMessage="1" showErrorMessage="1">
          <x14:formula1>
            <xm:f>'Drop Down'!$G$1:$G$4</xm:f>
          </x14:formula1>
          <xm:sqref>X25</xm:sqref>
        </x14:dataValidation>
        <x14:dataValidation type="list" allowBlank="1" showInputMessage="1" showErrorMessage="1">
          <x14:formula1>
            <xm:f>'Drop Down'!$I$2:$I$4</xm:f>
          </x14:formula1>
          <xm:sqref>AB25</xm:sqref>
        </x14:dataValidation>
        <x14:dataValidation type="list" allowBlank="1" showInputMessage="1" showErrorMessage="1">
          <x14:formula1>
            <xm:f>'Drop Down'!$A$2:$A$8</xm:f>
          </x14:formula1>
          <xm:sqref>B3 B17 B31 B45 B59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2"/>
  <sheetViews>
    <sheetView zoomScaleNormal="100" workbookViewId="0">
      <selection activeCell="B2" sqref="B2"/>
    </sheetView>
  </sheetViews>
  <sheetFormatPr defaultColWidth="8.85546875" defaultRowHeight="15" x14ac:dyDescent="0.25"/>
  <cols>
    <col min="1" max="1" width="30.85546875" bestFit="1" customWidth="1"/>
    <col min="2" max="2" width="19" bestFit="1" customWidth="1"/>
    <col min="3" max="3" width="11.28515625" bestFit="1" customWidth="1"/>
    <col min="4" max="4" width="27" bestFit="1" customWidth="1"/>
    <col min="5" max="6" width="21.42578125" customWidth="1"/>
    <col min="7" max="7" width="38.140625" bestFit="1" customWidth="1"/>
    <col min="8" max="8" width="18.5703125" bestFit="1" customWidth="1"/>
    <col min="9" max="9" width="24.7109375" bestFit="1" customWidth="1"/>
    <col min="10" max="10" width="8.7109375" bestFit="1" customWidth="1"/>
    <col min="11" max="11" width="20.42578125" bestFit="1" customWidth="1"/>
  </cols>
  <sheetData>
    <row r="1" spans="1:6" ht="21" x14ac:dyDescent="0.35">
      <c r="A1" s="22" t="s">
        <v>49</v>
      </c>
      <c r="B1" s="23"/>
      <c r="D1" s="24" t="s">
        <v>50</v>
      </c>
      <c r="E1" s="25" t="s">
        <v>63</v>
      </c>
      <c r="F1" s="23" t="s">
        <v>51</v>
      </c>
    </row>
    <row r="2" spans="1:6" ht="15.75" x14ac:dyDescent="0.25">
      <c r="A2" s="67" t="s">
        <v>52</v>
      </c>
      <c r="B2" s="146"/>
      <c r="D2" s="26" t="s">
        <v>53</v>
      </c>
      <c r="E2" s="215" t="s">
        <v>185</v>
      </c>
      <c r="F2" s="216"/>
    </row>
    <row r="3" spans="1:6" ht="15.75" x14ac:dyDescent="0.25">
      <c r="A3" s="67" t="s">
        <v>54</v>
      </c>
      <c r="B3" s="146"/>
      <c r="D3" s="27">
        <v>0</v>
      </c>
      <c r="E3" s="28">
        <v>0</v>
      </c>
      <c r="F3" s="29">
        <f>D3*E3</f>
        <v>0</v>
      </c>
    </row>
    <row r="4" spans="1:6" ht="15.75" x14ac:dyDescent="0.25">
      <c r="A4" s="67" t="s">
        <v>55</v>
      </c>
      <c r="B4" s="146"/>
      <c r="D4" s="27">
        <v>0</v>
      </c>
      <c r="E4" s="28">
        <v>0</v>
      </c>
      <c r="F4" s="29">
        <f>D4*E4</f>
        <v>0</v>
      </c>
    </row>
    <row r="5" spans="1:6" ht="15.75" x14ac:dyDescent="0.25">
      <c r="A5" s="67" t="s">
        <v>56</v>
      </c>
      <c r="B5" s="146"/>
      <c r="D5" s="27">
        <v>0</v>
      </c>
      <c r="E5" s="28">
        <v>0</v>
      </c>
      <c r="F5" s="29">
        <f t="shared" ref="F5:F15" si="0">D5*E5</f>
        <v>0</v>
      </c>
    </row>
    <row r="6" spans="1:6" ht="16.5" thickBot="1" x14ac:dyDescent="0.3">
      <c r="A6" s="68" t="s">
        <v>57</v>
      </c>
      <c r="B6" s="147"/>
      <c r="D6" s="27">
        <v>0</v>
      </c>
      <c r="E6" s="28">
        <v>0</v>
      </c>
      <c r="F6" s="29">
        <f t="shared" si="0"/>
        <v>0</v>
      </c>
    </row>
    <row r="7" spans="1:6" ht="21.75" thickBot="1" x14ac:dyDescent="0.4">
      <c r="A7" s="66" t="s">
        <v>58</v>
      </c>
      <c r="B7" s="30"/>
      <c r="D7" s="27">
        <v>0</v>
      </c>
      <c r="E7" s="28">
        <v>0</v>
      </c>
      <c r="F7" s="29">
        <f t="shared" si="0"/>
        <v>0</v>
      </c>
    </row>
    <row r="8" spans="1:6" ht="15.75" x14ac:dyDescent="0.25">
      <c r="A8" s="69" t="s">
        <v>59</v>
      </c>
      <c r="B8" s="31">
        <f>B9/Reference!$L$14*Reference!$L$15</f>
        <v>0</v>
      </c>
      <c r="D8" s="27">
        <v>0</v>
      </c>
      <c r="E8" s="28">
        <v>0</v>
      </c>
      <c r="F8" s="29">
        <f t="shared" si="0"/>
        <v>0</v>
      </c>
    </row>
    <row r="9" spans="1:6" ht="16.5" thickBot="1" x14ac:dyDescent="0.3">
      <c r="A9" s="68" t="s">
        <v>60</v>
      </c>
      <c r="B9" s="31">
        <f>Data!T12</f>
        <v>0</v>
      </c>
      <c r="D9" s="27">
        <v>0</v>
      </c>
      <c r="E9" s="28">
        <v>0</v>
      </c>
      <c r="F9" s="29">
        <f t="shared" si="0"/>
        <v>0</v>
      </c>
    </row>
    <row r="10" spans="1:6" ht="21.75" thickBot="1" x14ac:dyDescent="0.4">
      <c r="A10" s="66" t="s">
        <v>61</v>
      </c>
      <c r="B10" s="32"/>
      <c r="D10" s="27">
        <v>0</v>
      </c>
      <c r="E10" s="28">
        <v>0</v>
      </c>
      <c r="F10" s="29">
        <f t="shared" si="0"/>
        <v>0</v>
      </c>
    </row>
    <row r="11" spans="1:6" ht="15.75" x14ac:dyDescent="0.25">
      <c r="A11" s="69" t="s">
        <v>59</v>
      </c>
      <c r="B11" s="31">
        <f>B12/Reference!$L$14*Reference!$L$15</f>
        <v>0</v>
      </c>
      <c r="D11" s="33">
        <v>0</v>
      </c>
      <c r="E11" s="34">
        <v>0</v>
      </c>
      <c r="F11" s="35">
        <f t="shared" si="0"/>
        <v>0</v>
      </c>
    </row>
    <row r="12" spans="1:6" ht="16.5" thickBot="1" x14ac:dyDescent="0.3">
      <c r="A12" s="68" t="s">
        <v>60</v>
      </c>
      <c r="B12" s="31">
        <f>Data!T14</f>
        <v>0</v>
      </c>
      <c r="D12" s="36">
        <v>0</v>
      </c>
      <c r="E12" s="37">
        <v>0</v>
      </c>
      <c r="F12" s="38">
        <f t="shared" si="0"/>
        <v>0</v>
      </c>
    </row>
    <row r="13" spans="1:6" ht="16.5" thickBot="1" x14ac:dyDescent="0.3">
      <c r="A13" s="152" t="s">
        <v>62</v>
      </c>
      <c r="B13" s="153"/>
      <c r="D13" s="36">
        <v>0</v>
      </c>
      <c r="E13" s="37">
        <v>0</v>
      </c>
      <c r="F13" s="38">
        <f t="shared" si="0"/>
        <v>0</v>
      </c>
    </row>
    <row r="14" spans="1:6" x14ac:dyDescent="0.25">
      <c r="D14" s="36">
        <v>0</v>
      </c>
      <c r="E14" s="37">
        <v>0</v>
      </c>
      <c r="F14" s="38">
        <f t="shared" si="0"/>
        <v>0</v>
      </c>
    </row>
    <row r="15" spans="1:6" ht="15.75" thickBot="1" x14ac:dyDescent="0.3">
      <c r="D15" s="39">
        <v>0</v>
      </c>
      <c r="E15" s="40">
        <v>0</v>
      </c>
      <c r="F15" s="41">
        <f t="shared" si="0"/>
        <v>0</v>
      </c>
    </row>
    <row r="17" spans="4:6" ht="15.75" thickBot="1" x14ac:dyDescent="0.3"/>
    <row r="18" spans="4:6" ht="18.75" x14ac:dyDescent="0.3">
      <c r="D18" s="24" t="s">
        <v>50</v>
      </c>
      <c r="E18" s="25" t="s">
        <v>63</v>
      </c>
      <c r="F18" s="23" t="s">
        <v>51</v>
      </c>
    </row>
    <row r="19" spans="4:6" x14ac:dyDescent="0.25">
      <c r="D19" s="26" t="s">
        <v>53</v>
      </c>
      <c r="E19" s="215" t="s">
        <v>186</v>
      </c>
      <c r="F19" s="216"/>
    </row>
    <row r="20" spans="4:6" x14ac:dyDescent="0.25">
      <c r="D20" s="27">
        <v>0</v>
      </c>
      <c r="E20" s="28">
        <v>0</v>
      </c>
      <c r="F20" s="29">
        <f>D20*E20</f>
        <v>0</v>
      </c>
    </row>
    <row r="21" spans="4:6" x14ac:dyDescent="0.25">
      <c r="D21" s="27">
        <v>0</v>
      </c>
      <c r="E21" s="28">
        <v>0</v>
      </c>
      <c r="F21" s="29">
        <f>D21*E21</f>
        <v>0</v>
      </c>
    </row>
    <row r="22" spans="4:6" x14ac:dyDescent="0.25">
      <c r="D22" s="27">
        <v>0</v>
      </c>
      <c r="E22" s="28">
        <v>0</v>
      </c>
      <c r="F22" s="29">
        <f t="shared" ref="F22:F32" si="1">D22*E22</f>
        <v>0</v>
      </c>
    </row>
    <row r="23" spans="4:6" x14ac:dyDescent="0.25">
      <c r="D23" s="27">
        <v>0</v>
      </c>
      <c r="E23" s="28">
        <v>0</v>
      </c>
      <c r="F23" s="29">
        <f t="shared" si="1"/>
        <v>0</v>
      </c>
    </row>
    <row r="24" spans="4:6" x14ac:dyDescent="0.25">
      <c r="D24" s="27">
        <v>0</v>
      </c>
      <c r="E24" s="28">
        <v>0</v>
      </c>
      <c r="F24" s="29">
        <f t="shared" si="1"/>
        <v>0</v>
      </c>
    </row>
    <row r="25" spans="4:6" x14ac:dyDescent="0.25">
      <c r="D25" s="27">
        <v>0</v>
      </c>
      <c r="E25" s="28">
        <v>0</v>
      </c>
      <c r="F25" s="29">
        <f t="shared" si="1"/>
        <v>0</v>
      </c>
    </row>
    <row r="26" spans="4:6" x14ac:dyDescent="0.25">
      <c r="D26" s="27">
        <v>0</v>
      </c>
      <c r="E26" s="28">
        <v>0</v>
      </c>
      <c r="F26" s="29">
        <f t="shared" si="1"/>
        <v>0</v>
      </c>
    </row>
    <row r="27" spans="4:6" x14ac:dyDescent="0.25">
      <c r="D27" s="27">
        <v>0</v>
      </c>
      <c r="E27" s="28">
        <v>0</v>
      </c>
      <c r="F27" s="29">
        <f t="shared" si="1"/>
        <v>0</v>
      </c>
    </row>
    <row r="28" spans="4:6" x14ac:dyDescent="0.25">
      <c r="D28" s="33">
        <v>0</v>
      </c>
      <c r="E28" s="34">
        <v>0</v>
      </c>
      <c r="F28" s="35">
        <f t="shared" si="1"/>
        <v>0</v>
      </c>
    </row>
    <row r="29" spans="4:6" x14ac:dyDescent="0.25">
      <c r="D29" s="36">
        <v>0</v>
      </c>
      <c r="E29" s="37">
        <v>0</v>
      </c>
      <c r="F29" s="38">
        <f t="shared" si="1"/>
        <v>0</v>
      </c>
    </row>
    <row r="30" spans="4:6" x14ac:dyDescent="0.25">
      <c r="D30" s="36">
        <v>0</v>
      </c>
      <c r="E30" s="37">
        <v>0</v>
      </c>
      <c r="F30" s="38">
        <f t="shared" si="1"/>
        <v>0</v>
      </c>
    </row>
    <row r="31" spans="4:6" x14ac:dyDescent="0.25">
      <c r="D31" s="36">
        <v>0</v>
      </c>
      <c r="E31" s="37">
        <v>0</v>
      </c>
      <c r="F31" s="38">
        <f t="shared" si="1"/>
        <v>0</v>
      </c>
    </row>
    <row r="32" spans="4:6" ht="15.75" thickBot="1" x14ac:dyDescent="0.3">
      <c r="D32" s="39">
        <v>0</v>
      </c>
      <c r="E32" s="40">
        <v>0</v>
      </c>
      <c r="F32" s="41">
        <f t="shared" si="1"/>
        <v>0</v>
      </c>
    </row>
  </sheetData>
  <mergeCells count="2">
    <mergeCell ref="E2:F2"/>
    <mergeCell ref="E19:F19"/>
  </mergeCells>
  <dataValidations count="18">
    <dataValidation type="date" operator="greaterThanOrEqual" allowBlank="1" showInputMessage="1" showErrorMessage="1" errorTitle="Invalid Date" error="You must enter a date greater than today" prompt="Format: mm/dd/yyyy" sqref="B13">
      <formula1>TODAY()</formula1>
    </dataValidation>
    <dataValidation type="list" allowBlank="1" showInputMessage="1" showErrorMessage="1" sqref="B47">
      <formula1>$F$87:$F$88</formula1>
    </dataValidation>
    <dataValidation type="list" allowBlank="1" showInputMessage="1" showErrorMessage="1" sqref="B48">
      <formula1>$G$87:$G$88</formula1>
    </dataValidation>
    <dataValidation type="list" allowBlank="1" showInputMessage="1" showErrorMessage="1" sqref="B46">
      <formula1>$E$87:$E$90</formula1>
    </dataValidation>
    <dataValidation type="list" allowBlank="1" showInputMessage="1" showErrorMessage="1" sqref="H29">
      <formula1>"0,1,2,3,4,5"</formula1>
    </dataValidation>
    <dataValidation operator="greaterThanOrEqual" allowBlank="1" showInputMessage="1" showErrorMessage="1" sqref="I32:I33"/>
    <dataValidation type="list" allowBlank="1" showInputMessage="1" showErrorMessage="1" sqref="H32:H33">
      <formula1>$I$86:$I$87</formula1>
    </dataValidation>
    <dataValidation type="list" allowBlank="1" showInputMessage="1" showErrorMessage="1" sqref="B39 B41 B37">
      <formula1>$A$91:$A$94</formula1>
    </dataValidation>
    <dataValidation type="list" allowBlank="1" showInputMessage="1" showErrorMessage="1" sqref="B38">
      <formula1>$B$91:$B$94</formula1>
    </dataValidation>
    <dataValidation type="list" allowBlank="1" showInputMessage="1" showErrorMessage="1" sqref="C35 C37 C33">
      <formula1>$C$87:$C$90</formula1>
    </dataValidation>
    <dataValidation type="decimal" operator="greaterThanOrEqual" allowBlank="1" showInputMessage="1" showErrorMessage="1" sqref="I30:I31 H16:I17 B33:B34 C29:C30">
      <formula1>0</formula1>
    </dataValidation>
    <dataValidation type="decimal" operator="greaterThan" allowBlank="1" showInputMessage="1" showErrorMessage="1" sqref="H3:I4 C3:C4">
      <formula1>0</formula1>
    </dataValidation>
    <dataValidation type="list" allowBlank="1" showInputMessage="1" showErrorMessage="1" sqref="H7 H24 H20 H9 H12 H22">
      <formula1>$A$90:$A$93</formula1>
    </dataValidation>
    <dataValidation type="list" allowBlank="1" showInputMessage="1" showErrorMessage="1" sqref="H8 H21">
      <formula1>$B$90:$B$93</formula1>
    </dataValidation>
    <dataValidation type="list" allowBlank="1" showInputMessage="1" showErrorMessage="1" sqref="I12 C9 C7 I9 I7 I24 I20 I22">
      <formula1>$C$86:$C$89</formula1>
    </dataValidation>
    <dataValidation type="whole" operator="greaterThanOrEqual" allowBlank="1" showInputMessage="1" showErrorMessage="1" prompt="How many cuts outs needed in main curtain and valance?" sqref="H6 H19 B36">
      <formula1>0</formula1>
    </dataValidation>
    <dataValidation type="whole" operator="greaterThanOrEqual" allowBlank="1" showInputMessage="1" showErrorMessage="1" prompt="Enter the number of access doors on this curtaun. Access includes sliding track door, pvc door, power roll up, swing door, tec. This cost is for labor installation only. The door requires an additional quote." sqref="H10 B14 B40 H23">
      <formula1>0</formula1>
    </dataValidation>
    <dataValidation allowBlank="1" showInputMessage="1" showErrorMessage="1" prompt="Enter the number of a D rings" sqref="H11 B15 B42 H25"/>
  </dataValidations>
  <pageMargins left="0.7" right="0.7" top="0.75" bottom="0.75" header="0.3" footer="0.3"/>
  <pageSetup scale="47" orientation="portrait"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'Drop Down'!$B$2:$B$3</xm:f>
          </x14:formula1>
          <xm:sqref>B4</xm:sqref>
        </x14:dataValidation>
        <x14:dataValidation type="list" allowBlank="1" showInputMessage="1" showErrorMessage="1">
          <x14:formula1>
            <xm:f>'Drop Down'!$C$2:$C$3</xm:f>
          </x14:formula1>
          <xm:sqref>B5</xm:sqref>
        </x14:dataValidation>
        <x14:dataValidation type="list" allowBlank="1" showInputMessage="1" showErrorMessage="1">
          <x14:formula1>
            <xm:f>'Drop Down'!$E$3:$E$9</xm:f>
          </x14:formula1>
          <xm:sqref>B3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J118"/>
  <sheetViews>
    <sheetView zoomScaleNormal="100" workbookViewId="0">
      <selection sqref="A1:G1"/>
    </sheetView>
  </sheetViews>
  <sheetFormatPr defaultRowHeight="15" x14ac:dyDescent="0.25"/>
  <cols>
    <col min="1" max="1" width="43.85546875" bestFit="1" customWidth="1"/>
    <col min="2" max="4" width="20" customWidth="1"/>
    <col min="5" max="5" width="10" customWidth="1"/>
    <col min="6" max="7" width="20" customWidth="1"/>
  </cols>
  <sheetData>
    <row r="1" spans="1:7" ht="21.75" thickBot="1" x14ac:dyDescent="0.4">
      <c r="A1" s="217" t="s">
        <v>189</v>
      </c>
      <c r="B1" s="217"/>
      <c r="C1" s="217"/>
      <c r="D1" s="217"/>
      <c r="E1" s="217"/>
      <c r="F1" s="217"/>
      <c r="G1" s="217"/>
    </row>
    <row r="2" spans="1:7" ht="21" x14ac:dyDescent="0.35">
      <c r="A2" s="22" t="s">
        <v>49</v>
      </c>
      <c r="B2" s="23"/>
    </row>
    <row r="3" spans="1:7" ht="15.75" x14ac:dyDescent="0.25">
      <c r="A3" s="67" t="s">
        <v>52</v>
      </c>
      <c r="B3" s="169" t="str">
        <f>Data!Y4</f>
        <v/>
      </c>
    </row>
    <row r="4" spans="1:7" ht="15.75" x14ac:dyDescent="0.25">
      <c r="A4" s="67" t="s">
        <v>54</v>
      </c>
      <c r="B4" s="169" t="str">
        <f>Data!Y5</f>
        <v/>
      </c>
    </row>
    <row r="5" spans="1:7" ht="15.75" x14ac:dyDescent="0.25">
      <c r="A5" s="67" t="s">
        <v>55</v>
      </c>
      <c r="B5" s="169" t="str">
        <f>Data!Y6</f>
        <v/>
      </c>
    </row>
    <row r="6" spans="1:7" ht="15.75" x14ac:dyDescent="0.25">
      <c r="A6" s="67" t="s">
        <v>56</v>
      </c>
      <c r="B6" s="169" t="str">
        <f>Data!Y7</f>
        <v/>
      </c>
    </row>
    <row r="7" spans="1:7" ht="16.5" thickBot="1" x14ac:dyDescent="0.3">
      <c r="A7" s="204" t="s">
        <v>57</v>
      </c>
      <c r="B7" s="205" t="str">
        <f>Data!Y8</f>
        <v/>
      </c>
    </row>
    <row r="8" spans="1:7" ht="21.75" thickBot="1" x14ac:dyDescent="0.4">
      <c r="A8" s="66" t="s">
        <v>58</v>
      </c>
      <c r="B8" s="30"/>
    </row>
    <row r="9" spans="1:7" ht="15.75" x14ac:dyDescent="0.25">
      <c r="A9" s="69" t="s">
        <v>59</v>
      </c>
      <c r="B9" s="201">
        <f>Data!Y10</f>
        <v>0</v>
      </c>
    </row>
    <row r="10" spans="1:7" ht="16.5" thickBot="1" x14ac:dyDescent="0.3">
      <c r="A10" s="68" t="s">
        <v>60</v>
      </c>
      <c r="B10" s="201">
        <f>Data!Y11</f>
        <v>0</v>
      </c>
    </row>
    <row r="11" spans="1:7" ht="21.75" thickBot="1" x14ac:dyDescent="0.4">
      <c r="A11" s="66" t="s">
        <v>61</v>
      </c>
      <c r="B11" s="32"/>
    </row>
    <row r="12" spans="1:7" ht="15.75" x14ac:dyDescent="0.25">
      <c r="A12" s="69" t="s">
        <v>59</v>
      </c>
      <c r="B12" s="201">
        <f>Data!Y13</f>
        <v>0</v>
      </c>
    </row>
    <row r="13" spans="1:7" ht="16.5" thickBot="1" x14ac:dyDescent="0.3">
      <c r="A13" s="68" t="s">
        <v>60</v>
      </c>
      <c r="B13" s="202">
        <f>Data!Y14</f>
        <v>0</v>
      </c>
    </row>
    <row r="14" spans="1:7" ht="16.5" thickBot="1" x14ac:dyDescent="0.3">
      <c r="A14" s="170" t="s">
        <v>62</v>
      </c>
      <c r="B14" s="171" t="str">
        <f>Data!Y15</f>
        <v/>
      </c>
    </row>
    <row r="15" spans="1:7" ht="15.75" thickBot="1" x14ac:dyDescent="0.3"/>
    <row r="16" spans="1:7" s="197" customFormat="1" ht="26.25" customHeight="1" thickBot="1" x14ac:dyDescent="0.35">
      <c r="A16" s="199" t="s">
        <v>27</v>
      </c>
      <c r="B16" s="199" t="str">
        <f>Data!B3</f>
        <v>R-#</v>
      </c>
      <c r="D16" s="198"/>
      <c r="E16" s="198"/>
      <c r="F16" s="198"/>
      <c r="G16" s="198"/>
    </row>
    <row r="17" spans="1:7" ht="18.75" x14ac:dyDescent="0.3">
      <c r="A17" s="86" t="s">
        <v>28</v>
      </c>
      <c r="B17" s="44" t="s">
        <v>29</v>
      </c>
      <c r="C17" s="44" t="s">
        <v>30</v>
      </c>
      <c r="D17" s="44" t="s">
        <v>31</v>
      </c>
      <c r="E17" s="44" t="s">
        <v>32</v>
      </c>
      <c r="F17" s="117" t="s">
        <v>35</v>
      </c>
      <c r="G17" s="87" t="s">
        <v>36</v>
      </c>
    </row>
    <row r="18" spans="1:7" x14ac:dyDescent="0.25">
      <c r="A18" s="88" t="s">
        <v>40</v>
      </c>
      <c r="B18" s="17">
        <f>Data!B5</f>
        <v>0</v>
      </c>
      <c r="C18" s="17">
        <f>Data!C5</f>
        <v>0</v>
      </c>
      <c r="D18" s="17">
        <f>Data!D5</f>
        <v>0</v>
      </c>
      <c r="E18" s="17" t="s">
        <v>44</v>
      </c>
      <c r="F18" s="17">
        <f>Data!H5</f>
        <v>0</v>
      </c>
      <c r="G18" s="51">
        <f>Data!J5</f>
        <v>0</v>
      </c>
    </row>
    <row r="19" spans="1:7" x14ac:dyDescent="0.25">
      <c r="A19" s="88" t="s">
        <v>39</v>
      </c>
      <c r="B19" s="17">
        <f>Data!B6</f>
        <v>0</v>
      </c>
      <c r="C19" s="17">
        <f>Data!C6</f>
        <v>0</v>
      </c>
      <c r="D19" s="17">
        <f>Data!D6</f>
        <v>0</v>
      </c>
      <c r="E19" s="17" t="s">
        <v>44</v>
      </c>
      <c r="F19" s="17">
        <f>Data!H6</f>
        <v>0</v>
      </c>
      <c r="G19" s="51">
        <f>Data!J6</f>
        <v>0</v>
      </c>
    </row>
    <row r="20" spans="1:7" ht="18.75" x14ac:dyDescent="0.3">
      <c r="A20" s="122" t="s">
        <v>22</v>
      </c>
      <c r="B20" s="115"/>
      <c r="C20" s="116"/>
      <c r="D20" s="116"/>
      <c r="E20" s="116"/>
      <c r="F20" s="119"/>
      <c r="G20" s="186"/>
    </row>
    <row r="21" spans="1:7" x14ac:dyDescent="0.25">
      <c r="A21" s="88" t="s">
        <v>112</v>
      </c>
      <c r="B21" s="17" t="str">
        <f>Data!B8</f>
        <v>N/A</v>
      </c>
      <c r="C21" s="17" t="str">
        <f>Data!C8</f>
        <v>N/A</v>
      </c>
      <c r="D21" s="17">
        <f>Data!D8</f>
        <v>0</v>
      </c>
      <c r="E21" s="17" t="s">
        <v>47</v>
      </c>
      <c r="F21" s="17">
        <f>Data!H8</f>
        <v>0</v>
      </c>
      <c r="G21" s="51">
        <f>Data!J8</f>
        <v>0</v>
      </c>
    </row>
    <row r="22" spans="1:7" x14ac:dyDescent="0.25">
      <c r="A22" s="88" t="s">
        <v>42</v>
      </c>
      <c r="B22" s="17" t="str">
        <f>Data!B9</f>
        <v>N/A</v>
      </c>
      <c r="C22" s="17" t="str">
        <f>Data!C9</f>
        <v>N/A</v>
      </c>
      <c r="D22" s="17">
        <f>Data!D9</f>
        <v>0</v>
      </c>
      <c r="E22" s="17" t="s">
        <v>47</v>
      </c>
      <c r="F22" s="17">
        <f>Data!H9</f>
        <v>0</v>
      </c>
      <c r="G22" s="51">
        <f>Data!J9</f>
        <v>0</v>
      </c>
    </row>
    <row r="23" spans="1:7" x14ac:dyDescent="0.25">
      <c r="A23" s="88" t="s">
        <v>41</v>
      </c>
      <c r="B23" s="17" t="str">
        <f>Data!B10</f>
        <v>N/A</v>
      </c>
      <c r="C23" s="17" t="str">
        <f>Data!C10</f>
        <v>N/A</v>
      </c>
      <c r="D23" s="17">
        <f>Data!D10</f>
        <v>0</v>
      </c>
      <c r="E23" s="17" t="s">
        <v>45</v>
      </c>
      <c r="F23" s="17">
        <f>Data!H10</f>
        <v>0</v>
      </c>
      <c r="G23" s="51">
        <f>Data!J10</f>
        <v>0</v>
      </c>
    </row>
    <row r="24" spans="1:7" x14ac:dyDescent="0.25">
      <c r="A24" s="88" t="s">
        <v>113</v>
      </c>
      <c r="B24" s="17" t="str">
        <f>Data!B11</f>
        <v>N/A</v>
      </c>
      <c r="C24" s="17" t="str">
        <f>Data!C11</f>
        <v>N/A</v>
      </c>
      <c r="D24" s="17">
        <f>Data!D11</f>
        <v>0</v>
      </c>
      <c r="E24" s="17" t="s">
        <v>72</v>
      </c>
      <c r="F24" s="17">
        <f>Data!H11</f>
        <v>0</v>
      </c>
      <c r="G24" s="51">
        <f>Data!J11</f>
        <v>0</v>
      </c>
    </row>
    <row r="25" spans="1:7" x14ac:dyDescent="0.25">
      <c r="A25" s="88" t="s">
        <v>114</v>
      </c>
      <c r="B25" s="17" t="str">
        <f>Data!B12</f>
        <v>N/A</v>
      </c>
      <c r="C25" s="17" t="str">
        <f>Data!C12</f>
        <v>N/A</v>
      </c>
      <c r="D25" s="17">
        <f>Data!D12</f>
        <v>0</v>
      </c>
      <c r="E25" s="17" t="s">
        <v>89</v>
      </c>
      <c r="F25" s="17">
        <f>Data!H12</f>
        <v>0</v>
      </c>
      <c r="G25" s="51">
        <f>Data!J12</f>
        <v>0</v>
      </c>
    </row>
    <row r="26" spans="1:7" x14ac:dyDescent="0.25">
      <c r="A26" s="88" t="s">
        <v>115</v>
      </c>
      <c r="B26" s="17" t="str">
        <f>Data!B13</f>
        <v>N/A</v>
      </c>
      <c r="C26" s="17" t="str">
        <f>Data!C13</f>
        <v>N/A</v>
      </c>
      <c r="D26" s="17">
        <f>Data!D13</f>
        <v>0</v>
      </c>
      <c r="E26" s="17" t="s">
        <v>45</v>
      </c>
      <c r="F26" s="17">
        <f>Data!H13</f>
        <v>0</v>
      </c>
      <c r="G26" s="51">
        <f>Data!J13</f>
        <v>0</v>
      </c>
    </row>
    <row r="27" spans="1:7" ht="15.75" thickBot="1" x14ac:dyDescent="0.3">
      <c r="A27" s="89" t="s">
        <v>46</v>
      </c>
      <c r="B27" s="18" t="str">
        <f>Data!B14</f>
        <v>N/A</v>
      </c>
      <c r="C27" s="18" t="str">
        <f>Data!C14</f>
        <v>N/A</v>
      </c>
      <c r="D27" s="18" t="str">
        <f>Data!D14</f>
        <v>N/A</v>
      </c>
      <c r="E27" s="18" t="s">
        <v>47</v>
      </c>
      <c r="F27" s="18">
        <f>Data!H14</f>
        <v>0</v>
      </c>
      <c r="G27" s="52">
        <f>Data!J14</f>
        <v>0</v>
      </c>
    </row>
    <row r="28" spans="1:7" ht="22.5" customHeight="1" thickBot="1" x14ac:dyDescent="0.35">
      <c r="A28" s="187" t="s">
        <v>169</v>
      </c>
      <c r="B28" s="185">
        <f>Data!B15</f>
        <v>0</v>
      </c>
      <c r="C28" s="107">
        <f>Data!C15</f>
        <v>0</v>
      </c>
      <c r="D28" s="2"/>
      <c r="E28" s="2"/>
      <c r="F28" s="2"/>
      <c r="G28" s="2"/>
    </row>
    <row r="30" spans="1:7" ht="15.75" thickBot="1" x14ac:dyDescent="0.3"/>
    <row r="31" spans="1:7" s="197" customFormat="1" ht="26.25" customHeight="1" thickBot="1" x14ac:dyDescent="0.35">
      <c r="A31" s="199" t="s">
        <v>133</v>
      </c>
      <c r="B31" s="199" t="str">
        <f>Data!B17</f>
        <v>R-#</v>
      </c>
      <c r="D31" s="198"/>
      <c r="E31" s="198"/>
      <c r="F31" s="198"/>
      <c r="G31" s="198"/>
    </row>
    <row r="32" spans="1:7" ht="18.75" x14ac:dyDescent="0.3">
      <c r="A32" s="86" t="s">
        <v>28</v>
      </c>
      <c r="B32" s="44" t="s">
        <v>29</v>
      </c>
      <c r="C32" s="44" t="s">
        <v>30</v>
      </c>
      <c r="D32" s="44" t="s">
        <v>31</v>
      </c>
      <c r="E32" s="44" t="s">
        <v>32</v>
      </c>
      <c r="F32" s="117" t="s">
        <v>35</v>
      </c>
      <c r="G32" s="87" t="s">
        <v>36</v>
      </c>
    </row>
    <row r="33" spans="1:7" x14ac:dyDescent="0.25">
      <c r="A33" s="88" t="s">
        <v>40</v>
      </c>
      <c r="B33" s="17">
        <f>Data!B19</f>
        <v>0</v>
      </c>
      <c r="C33" s="17">
        <f>Data!C19</f>
        <v>0</v>
      </c>
      <c r="D33" s="17">
        <f>Data!D19</f>
        <v>0</v>
      </c>
      <c r="E33" s="17" t="s">
        <v>44</v>
      </c>
      <c r="F33" s="17">
        <f>Data!H19</f>
        <v>0</v>
      </c>
      <c r="G33" s="51">
        <f>Data!J19</f>
        <v>0</v>
      </c>
    </row>
    <row r="34" spans="1:7" x14ac:dyDescent="0.25">
      <c r="A34" s="88" t="s">
        <v>39</v>
      </c>
      <c r="B34" s="17">
        <f>Data!B20</f>
        <v>0</v>
      </c>
      <c r="C34" s="17">
        <f>Data!C20</f>
        <v>0</v>
      </c>
      <c r="D34" s="17">
        <f>Data!D20</f>
        <v>0</v>
      </c>
      <c r="E34" s="17" t="s">
        <v>44</v>
      </c>
      <c r="F34" s="17">
        <f>Data!H20</f>
        <v>0</v>
      </c>
      <c r="G34" s="51">
        <f>Data!J20</f>
        <v>0</v>
      </c>
    </row>
    <row r="35" spans="1:7" ht="18.75" x14ac:dyDescent="0.3">
      <c r="A35" s="122" t="s">
        <v>22</v>
      </c>
      <c r="B35" s="115"/>
      <c r="C35" s="116"/>
      <c r="D35" s="116"/>
      <c r="E35" s="116"/>
      <c r="F35" s="119"/>
      <c r="G35" s="186"/>
    </row>
    <row r="36" spans="1:7" x14ac:dyDescent="0.25">
      <c r="A36" s="88" t="s">
        <v>112</v>
      </c>
      <c r="B36" s="17" t="str">
        <f>Data!B22</f>
        <v>N/A</v>
      </c>
      <c r="C36" s="17" t="str">
        <f>Data!C22</f>
        <v>N/A</v>
      </c>
      <c r="D36" s="17">
        <f>Data!D22</f>
        <v>0</v>
      </c>
      <c r="E36" s="17" t="s">
        <v>47</v>
      </c>
      <c r="F36" s="17">
        <f>Data!H22</f>
        <v>0</v>
      </c>
      <c r="G36" s="51">
        <f>Data!J22</f>
        <v>0</v>
      </c>
    </row>
    <row r="37" spans="1:7" x14ac:dyDescent="0.25">
      <c r="A37" s="88" t="s">
        <v>42</v>
      </c>
      <c r="B37" s="17" t="str">
        <f>Data!B23</f>
        <v>N/A</v>
      </c>
      <c r="C37" s="17" t="str">
        <f>Data!C23</f>
        <v>N/A</v>
      </c>
      <c r="D37" s="17">
        <f>Data!D23</f>
        <v>0</v>
      </c>
      <c r="E37" s="17" t="s">
        <v>47</v>
      </c>
      <c r="F37" s="17">
        <f>Data!H23</f>
        <v>0</v>
      </c>
      <c r="G37" s="51">
        <f>Data!J23</f>
        <v>0</v>
      </c>
    </row>
    <row r="38" spans="1:7" x14ac:dyDescent="0.25">
      <c r="A38" s="88" t="s">
        <v>41</v>
      </c>
      <c r="B38" s="17" t="str">
        <f>Data!B24</f>
        <v>N/A</v>
      </c>
      <c r="C38" s="17" t="str">
        <f>Data!C24</f>
        <v>N/A</v>
      </c>
      <c r="D38" s="17">
        <f>Data!D24</f>
        <v>0</v>
      </c>
      <c r="E38" s="17" t="s">
        <v>45</v>
      </c>
      <c r="F38" s="17">
        <f>Data!H24</f>
        <v>0</v>
      </c>
      <c r="G38" s="51">
        <f>Data!J24</f>
        <v>0</v>
      </c>
    </row>
    <row r="39" spans="1:7" x14ac:dyDescent="0.25">
      <c r="A39" s="88" t="s">
        <v>113</v>
      </c>
      <c r="B39" s="17" t="str">
        <f>Data!B25</f>
        <v>N/A</v>
      </c>
      <c r="C39" s="17" t="str">
        <f>Data!C25</f>
        <v>N/A</v>
      </c>
      <c r="D39" s="17">
        <f>Data!D25</f>
        <v>0</v>
      </c>
      <c r="E39" s="17" t="s">
        <v>72</v>
      </c>
      <c r="F39" s="17">
        <f>Data!H25</f>
        <v>0</v>
      </c>
      <c r="G39" s="51">
        <f>Data!J25</f>
        <v>0</v>
      </c>
    </row>
    <row r="40" spans="1:7" x14ac:dyDescent="0.25">
      <c r="A40" s="88" t="s">
        <v>114</v>
      </c>
      <c r="B40" s="17" t="str">
        <f>Data!B26</f>
        <v>N/A</v>
      </c>
      <c r="C40" s="17" t="str">
        <f>Data!C26</f>
        <v>N/A</v>
      </c>
      <c r="D40" s="17">
        <f>Data!D26</f>
        <v>0</v>
      </c>
      <c r="E40" s="17" t="s">
        <v>89</v>
      </c>
      <c r="F40" s="17">
        <f>Data!H26</f>
        <v>0</v>
      </c>
      <c r="G40" s="51">
        <f>Data!J26</f>
        <v>0</v>
      </c>
    </row>
    <row r="41" spans="1:7" x14ac:dyDescent="0.25">
      <c r="A41" s="88" t="s">
        <v>115</v>
      </c>
      <c r="B41" s="17" t="str">
        <f>Data!B27</f>
        <v>N/A</v>
      </c>
      <c r="C41" s="17" t="str">
        <f>Data!C27</f>
        <v>N/A</v>
      </c>
      <c r="D41" s="17">
        <f>Data!D27</f>
        <v>0</v>
      </c>
      <c r="E41" s="17" t="s">
        <v>45</v>
      </c>
      <c r="F41" s="17">
        <f>Data!H27</f>
        <v>0</v>
      </c>
      <c r="G41" s="51">
        <f>Data!J27</f>
        <v>0</v>
      </c>
    </row>
    <row r="42" spans="1:7" ht="15.75" thickBot="1" x14ac:dyDescent="0.3">
      <c r="A42" s="89" t="s">
        <v>46</v>
      </c>
      <c r="B42" s="18" t="str">
        <f>Data!B28</f>
        <v>N/A</v>
      </c>
      <c r="C42" s="18" t="str">
        <f>Data!C28</f>
        <v>N/A</v>
      </c>
      <c r="D42" s="18" t="str">
        <f>Data!D28</f>
        <v>N/A</v>
      </c>
      <c r="E42" s="18" t="s">
        <v>47</v>
      </c>
      <c r="F42" s="18">
        <f>Data!H28</f>
        <v>0</v>
      </c>
      <c r="G42" s="52">
        <f>Data!J28</f>
        <v>0</v>
      </c>
    </row>
    <row r="43" spans="1:7" ht="22.5" customHeight="1" thickBot="1" x14ac:dyDescent="0.35">
      <c r="A43" s="84" t="s">
        <v>173</v>
      </c>
      <c r="B43" s="85">
        <f>Data!B29</f>
        <v>0</v>
      </c>
      <c r="C43" s="107">
        <f>Data!C29</f>
        <v>0</v>
      </c>
      <c r="D43" s="2"/>
      <c r="E43" s="2"/>
      <c r="F43" s="2"/>
      <c r="G43" s="2"/>
    </row>
    <row r="45" spans="1:7" ht="15.75" thickBot="1" x14ac:dyDescent="0.3"/>
    <row r="46" spans="1:7" s="197" customFormat="1" ht="26.25" customHeight="1" thickBot="1" x14ac:dyDescent="0.35">
      <c r="A46" s="199" t="s">
        <v>134</v>
      </c>
      <c r="B46" s="199" t="str">
        <f>Data!B31</f>
        <v>R-#</v>
      </c>
      <c r="D46" s="198"/>
      <c r="E46" s="198"/>
      <c r="F46" s="198"/>
      <c r="G46" s="198"/>
    </row>
    <row r="47" spans="1:7" ht="18.75" x14ac:dyDescent="0.3">
      <c r="A47" s="86" t="s">
        <v>28</v>
      </c>
      <c r="B47" s="44" t="s">
        <v>29</v>
      </c>
      <c r="C47" s="44" t="s">
        <v>30</v>
      </c>
      <c r="D47" s="44" t="s">
        <v>31</v>
      </c>
      <c r="E47" s="44" t="s">
        <v>32</v>
      </c>
      <c r="F47" s="117" t="s">
        <v>35</v>
      </c>
      <c r="G47" s="87" t="s">
        <v>36</v>
      </c>
    </row>
    <row r="48" spans="1:7" x14ac:dyDescent="0.25">
      <c r="A48" s="88" t="s">
        <v>40</v>
      </c>
      <c r="B48" s="17">
        <f>Data!B33</f>
        <v>0</v>
      </c>
      <c r="C48" s="17">
        <f>Data!C33</f>
        <v>0</v>
      </c>
      <c r="D48" s="17">
        <f>Data!D33</f>
        <v>0</v>
      </c>
      <c r="E48" s="17" t="s">
        <v>44</v>
      </c>
      <c r="F48" s="17">
        <f>Data!H33</f>
        <v>0</v>
      </c>
      <c r="G48" s="51">
        <f>Data!J33</f>
        <v>0</v>
      </c>
    </row>
    <row r="49" spans="1:7" x14ac:dyDescent="0.25">
      <c r="A49" s="88" t="s">
        <v>39</v>
      </c>
      <c r="B49" s="17">
        <f>Data!B34</f>
        <v>0</v>
      </c>
      <c r="C49" s="17">
        <f>Data!C34</f>
        <v>0</v>
      </c>
      <c r="D49" s="17">
        <f>Data!D34</f>
        <v>0</v>
      </c>
      <c r="E49" s="17" t="s">
        <v>44</v>
      </c>
      <c r="F49" s="17">
        <f>Data!H34</f>
        <v>0</v>
      </c>
      <c r="G49" s="51">
        <f>Data!J34</f>
        <v>0</v>
      </c>
    </row>
    <row r="50" spans="1:7" ht="18.75" x14ac:dyDescent="0.3">
      <c r="A50" s="122" t="s">
        <v>22</v>
      </c>
      <c r="B50" s="115"/>
      <c r="C50" s="116"/>
      <c r="D50" s="116"/>
      <c r="E50" s="116"/>
      <c r="F50" s="119"/>
      <c r="G50" s="186"/>
    </row>
    <row r="51" spans="1:7" x14ac:dyDescent="0.25">
      <c r="A51" s="88" t="s">
        <v>112</v>
      </c>
      <c r="B51" s="17" t="str">
        <f>Data!B36</f>
        <v>N/A</v>
      </c>
      <c r="C51" s="17" t="str">
        <f>Data!C36</f>
        <v>N/A</v>
      </c>
      <c r="D51" s="17">
        <f>Data!D36</f>
        <v>0</v>
      </c>
      <c r="E51" s="17" t="s">
        <v>47</v>
      </c>
      <c r="F51" s="17">
        <f>Data!H36</f>
        <v>0</v>
      </c>
      <c r="G51" s="51">
        <f>Data!J36</f>
        <v>0</v>
      </c>
    </row>
    <row r="52" spans="1:7" x14ac:dyDescent="0.25">
      <c r="A52" s="88" t="s">
        <v>42</v>
      </c>
      <c r="B52" s="17" t="str">
        <f>Data!B37</f>
        <v>N/A</v>
      </c>
      <c r="C52" s="17" t="str">
        <f>Data!C37</f>
        <v>N/A</v>
      </c>
      <c r="D52" s="17">
        <f>Data!D37</f>
        <v>0</v>
      </c>
      <c r="E52" s="17" t="s">
        <v>47</v>
      </c>
      <c r="F52" s="17">
        <f>Data!H37</f>
        <v>0</v>
      </c>
      <c r="G52" s="51">
        <f>Data!J37</f>
        <v>0</v>
      </c>
    </row>
    <row r="53" spans="1:7" x14ac:dyDescent="0.25">
      <c r="A53" s="88" t="s">
        <v>41</v>
      </c>
      <c r="B53" s="17" t="str">
        <f>Data!B38</f>
        <v>N/A</v>
      </c>
      <c r="C53" s="17" t="str">
        <f>Data!C38</f>
        <v>N/A</v>
      </c>
      <c r="D53" s="17">
        <f>Data!D38</f>
        <v>0</v>
      </c>
      <c r="E53" s="17" t="s">
        <v>45</v>
      </c>
      <c r="F53" s="17">
        <f>Data!H38</f>
        <v>0</v>
      </c>
      <c r="G53" s="51">
        <f>Data!J38</f>
        <v>0</v>
      </c>
    </row>
    <row r="54" spans="1:7" x14ac:dyDescent="0.25">
      <c r="A54" s="88" t="s">
        <v>113</v>
      </c>
      <c r="B54" s="17" t="str">
        <f>Data!B39</f>
        <v>N/A</v>
      </c>
      <c r="C54" s="17" t="str">
        <f>Data!C39</f>
        <v>N/A</v>
      </c>
      <c r="D54" s="17">
        <f>Data!D39</f>
        <v>0</v>
      </c>
      <c r="E54" s="17" t="s">
        <v>72</v>
      </c>
      <c r="F54" s="17">
        <f>Data!H39</f>
        <v>0</v>
      </c>
      <c r="G54" s="51">
        <f>Data!J39</f>
        <v>0</v>
      </c>
    </row>
    <row r="55" spans="1:7" x14ac:dyDescent="0.25">
      <c r="A55" s="88" t="s">
        <v>114</v>
      </c>
      <c r="B55" s="17" t="str">
        <f>Data!B40</f>
        <v>N/A</v>
      </c>
      <c r="C55" s="17" t="str">
        <f>Data!C40</f>
        <v>N/A</v>
      </c>
      <c r="D55" s="17">
        <f>Data!D40</f>
        <v>0</v>
      </c>
      <c r="E55" s="17" t="s">
        <v>89</v>
      </c>
      <c r="F55" s="17">
        <f>Data!H40</f>
        <v>0</v>
      </c>
      <c r="G55" s="51">
        <f>Data!J40</f>
        <v>0</v>
      </c>
    </row>
    <row r="56" spans="1:7" x14ac:dyDescent="0.25">
      <c r="A56" s="88" t="s">
        <v>115</v>
      </c>
      <c r="B56" s="17" t="str">
        <f>Data!B41</f>
        <v>N/A</v>
      </c>
      <c r="C56" s="17" t="str">
        <f>Data!C41</f>
        <v>N/A</v>
      </c>
      <c r="D56" s="17">
        <f>Data!D41</f>
        <v>0</v>
      </c>
      <c r="E56" s="17" t="s">
        <v>45</v>
      </c>
      <c r="F56" s="17">
        <f>Data!H41</f>
        <v>0</v>
      </c>
      <c r="G56" s="51">
        <f>Data!J41</f>
        <v>0</v>
      </c>
    </row>
    <row r="57" spans="1:7" ht="15.75" thickBot="1" x14ac:dyDescent="0.3">
      <c r="A57" s="89" t="s">
        <v>46</v>
      </c>
      <c r="B57" s="18" t="str">
        <f>Data!B42</f>
        <v>N/A</v>
      </c>
      <c r="C57" s="18" t="str">
        <f>Data!C42</f>
        <v>N/A</v>
      </c>
      <c r="D57" s="18" t="str">
        <f>Data!D42</f>
        <v>N/A</v>
      </c>
      <c r="E57" s="18" t="s">
        <v>47</v>
      </c>
      <c r="F57" s="18">
        <f>Data!H42</f>
        <v>0</v>
      </c>
      <c r="G57" s="52">
        <f>Data!J42</f>
        <v>0</v>
      </c>
    </row>
    <row r="58" spans="1:7" ht="22.5" customHeight="1" thickBot="1" x14ac:dyDescent="0.35">
      <c r="A58" s="84" t="s">
        <v>172</v>
      </c>
      <c r="B58" s="85">
        <f>Data!B43</f>
        <v>0</v>
      </c>
      <c r="C58" s="107">
        <f>Data!C43</f>
        <v>0</v>
      </c>
      <c r="D58" s="2"/>
      <c r="E58" s="2"/>
      <c r="F58" s="2"/>
      <c r="G58" s="2"/>
    </row>
    <row r="60" spans="1:7" ht="15.75" thickBot="1" x14ac:dyDescent="0.3"/>
    <row r="61" spans="1:7" s="197" customFormat="1" ht="26.25" customHeight="1" thickBot="1" x14ac:dyDescent="0.35">
      <c r="A61" s="199" t="s">
        <v>135</v>
      </c>
      <c r="B61" s="199" t="str">
        <f>Data!B45</f>
        <v>R-#</v>
      </c>
      <c r="D61" s="198"/>
      <c r="E61" s="198"/>
      <c r="F61" s="198"/>
      <c r="G61" s="198"/>
    </row>
    <row r="62" spans="1:7" ht="18.75" x14ac:dyDescent="0.3">
      <c r="A62" s="86" t="s">
        <v>28</v>
      </c>
      <c r="B62" s="44" t="s">
        <v>29</v>
      </c>
      <c r="C62" s="44" t="s">
        <v>30</v>
      </c>
      <c r="D62" s="44" t="s">
        <v>31</v>
      </c>
      <c r="E62" s="44" t="s">
        <v>32</v>
      </c>
      <c r="F62" s="117" t="s">
        <v>35</v>
      </c>
      <c r="G62" s="87" t="s">
        <v>36</v>
      </c>
    </row>
    <row r="63" spans="1:7" x14ac:dyDescent="0.25">
      <c r="A63" s="88" t="s">
        <v>40</v>
      </c>
      <c r="B63" s="17">
        <f>Data!B47</f>
        <v>0</v>
      </c>
      <c r="C63" s="17">
        <f>Data!C47</f>
        <v>0</v>
      </c>
      <c r="D63" s="17">
        <f>Data!D47</f>
        <v>0</v>
      </c>
      <c r="E63" s="17" t="s">
        <v>44</v>
      </c>
      <c r="F63" s="17">
        <f>Data!H47</f>
        <v>0</v>
      </c>
      <c r="G63" s="51">
        <f>Data!J47</f>
        <v>0</v>
      </c>
    </row>
    <row r="64" spans="1:7" x14ac:dyDescent="0.25">
      <c r="A64" s="88" t="s">
        <v>39</v>
      </c>
      <c r="B64" s="17">
        <f>Data!B48</f>
        <v>0</v>
      </c>
      <c r="C64" s="17">
        <f>Data!C48</f>
        <v>0</v>
      </c>
      <c r="D64" s="17">
        <f>Data!D48</f>
        <v>0</v>
      </c>
      <c r="E64" s="17" t="s">
        <v>44</v>
      </c>
      <c r="F64" s="17">
        <f>Data!H48</f>
        <v>0</v>
      </c>
      <c r="G64" s="51">
        <f>Data!J48</f>
        <v>0</v>
      </c>
    </row>
    <row r="65" spans="1:7" ht="18.75" x14ac:dyDescent="0.3">
      <c r="A65" s="122" t="s">
        <v>22</v>
      </c>
      <c r="B65" s="115"/>
      <c r="C65" s="116"/>
      <c r="D65" s="116"/>
      <c r="E65" s="116"/>
      <c r="F65" s="119"/>
      <c r="G65" s="186"/>
    </row>
    <row r="66" spans="1:7" x14ac:dyDescent="0.25">
      <c r="A66" s="88" t="s">
        <v>112</v>
      </c>
      <c r="B66" s="17" t="str">
        <f>Data!B50</f>
        <v>N/A</v>
      </c>
      <c r="C66" s="17" t="str">
        <f>Data!C50</f>
        <v>N/A</v>
      </c>
      <c r="D66" s="17">
        <f>Data!D50</f>
        <v>0</v>
      </c>
      <c r="E66" s="17" t="s">
        <v>47</v>
      </c>
      <c r="F66" s="17">
        <f>Data!H50</f>
        <v>0</v>
      </c>
      <c r="G66" s="51">
        <f>Data!J50</f>
        <v>0</v>
      </c>
    </row>
    <row r="67" spans="1:7" x14ac:dyDescent="0.25">
      <c r="A67" s="88" t="s">
        <v>42</v>
      </c>
      <c r="B67" s="17" t="str">
        <f>Data!B51</f>
        <v>N/A</v>
      </c>
      <c r="C67" s="17" t="str">
        <f>Data!C51</f>
        <v>N/A</v>
      </c>
      <c r="D67" s="17">
        <f>Data!D51</f>
        <v>0</v>
      </c>
      <c r="E67" s="17" t="s">
        <v>47</v>
      </c>
      <c r="F67" s="17">
        <f>Data!H51</f>
        <v>0</v>
      </c>
      <c r="G67" s="51">
        <f>Data!J51</f>
        <v>0</v>
      </c>
    </row>
    <row r="68" spans="1:7" x14ac:dyDescent="0.25">
      <c r="A68" s="88" t="s">
        <v>41</v>
      </c>
      <c r="B68" s="17" t="str">
        <f>Data!B52</f>
        <v>N/A</v>
      </c>
      <c r="C68" s="17" t="str">
        <f>Data!C52</f>
        <v>N/A</v>
      </c>
      <c r="D68" s="17">
        <f>Data!D52</f>
        <v>0</v>
      </c>
      <c r="E68" s="17" t="s">
        <v>45</v>
      </c>
      <c r="F68" s="17">
        <f>Data!H52</f>
        <v>0</v>
      </c>
      <c r="G68" s="51">
        <f>Data!J52</f>
        <v>0</v>
      </c>
    </row>
    <row r="69" spans="1:7" x14ac:dyDescent="0.25">
      <c r="A69" s="88" t="s">
        <v>113</v>
      </c>
      <c r="B69" s="17" t="str">
        <f>Data!B53</f>
        <v>N/A</v>
      </c>
      <c r="C69" s="17" t="str">
        <f>Data!C53</f>
        <v>N/A</v>
      </c>
      <c r="D69" s="17">
        <f>Data!D53</f>
        <v>0</v>
      </c>
      <c r="E69" s="17" t="s">
        <v>72</v>
      </c>
      <c r="F69" s="17">
        <f>Data!H53</f>
        <v>0</v>
      </c>
      <c r="G69" s="51">
        <f>Data!J53</f>
        <v>0</v>
      </c>
    </row>
    <row r="70" spans="1:7" x14ac:dyDescent="0.25">
      <c r="A70" s="88" t="s">
        <v>114</v>
      </c>
      <c r="B70" s="17" t="str">
        <f>Data!B54</f>
        <v>N/A</v>
      </c>
      <c r="C70" s="17" t="str">
        <f>Data!C54</f>
        <v>N/A</v>
      </c>
      <c r="D70" s="17">
        <f>Data!D54</f>
        <v>0</v>
      </c>
      <c r="E70" s="17" t="s">
        <v>89</v>
      </c>
      <c r="F70" s="17">
        <f>Data!H54</f>
        <v>0</v>
      </c>
      <c r="G70" s="51">
        <f>Data!J54</f>
        <v>0</v>
      </c>
    </row>
    <row r="71" spans="1:7" x14ac:dyDescent="0.25">
      <c r="A71" s="88" t="s">
        <v>115</v>
      </c>
      <c r="B71" s="17" t="str">
        <f>Data!B55</f>
        <v>N/A</v>
      </c>
      <c r="C71" s="17" t="str">
        <f>Data!C55</f>
        <v>N/A</v>
      </c>
      <c r="D71" s="17">
        <f>Data!D55</f>
        <v>0</v>
      </c>
      <c r="E71" s="17" t="s">
        <v>45</v>
      </c>
      <c r="F71" s="17">
        <f>Data!H55</f>
        <v>0</v>
      </c>
      <c r="G71" s="51">
        <f>Data!J55</f>
        <v>0</v>
      </c>
    </row>
    <row r="72" spans="1:7" ht="15.75" thickBot="1" x14ac:dyDescent="0.3">
      <c r="A72" s="89" t="s">
        <v>46</v>
      </c>
      <c r="B72" s="18" t="str">
        <f>Data!B56</f>
        <v>N/A</v>
      </c>
      <c r="C72" s="18" t="str">
        <f>Data!C56</f>
        <v>N/A</v>
      </c>
      <c r="D72" s="18" t="str">
        <f>Data!D56</f>
        <v>N/A</v>
      </c>
      <c r="E72" s="18" t="s">
        <v>47</v>
      </c>
      <c r="F72" s="18">
        <f>Data!H56</f>
        <v>0</v>
      </c>
      <c r="G72" s="52">
        <f>Data!J56</f>
        <v>0</v>
      </c>
    </row>
    <row r="73" spans="1:7" ht="22.5" customHeight="1" thickBot="1" x14ac:dyDescent="0.35">
      <c r="A73" s="84" t="s">
        <v>171</v>
      </c>
      <c r="B73" s="85">
        <f>Data!B57</f>
        <v>0</v>
      </c>
      <c r="C73" s="107">
        <f>Data!C57</f>
        <v>0</v>
      </c>
      <c r="D73" s="2"/>
      <c r="E73" s="2"/>
      <c r="F73" s="2"/>
      <c r="G73" s="2"/>
    </row>
    <row r="76" spans="1:7" s="197" customFormat="1" ht="26.25" customHeight="1" thickBot="1" x14ac:dyDescent="0.35">
      <c r="A76" s="199" t="s">
        <v>136</v>
      </c>
      <c r="B76" s="199" t="str">
        <f>Data!B59</f>
        <v>R-#</v>
      </c>
      <c r="D76" s="198"/>
      <c r="E76" s="198"/>
      <c r="F76" s="198"/>
      <c r="G76" s="198"/>
    </row>
    <row r="77" spans="1:7" ht="18.75" x14ac:dyDescent="0.3">
      <c r="A77" s="86" t="s">
        <v>28</v>
      </c>
      <c r="B77" s="44" t="s">
        <v>29</v>
      </c>
      <c r="C77" s="44" t="s">
        <v>30</v>
      </c>
      <c r="D77" s="44" t="s">
        <v>31</v>
      </c>
      <c r="E77" s="44" t="s">
        <v>32</v>
      </c>
      <c r="F77" s="117" t="s">
        <v>35</v>
      </c>
      <c r="G77" s="87" t="s">
        <v>36</v>
      </c>
    </row>
    <row r="78" spans="1:7" x14ac:dyDescent="0.25">
      <c r="A78" s="88" t="s">
        <v>40</v>
      </c>
      <c r="B78" s="17">
        <f>Data!B61</f>
        <v>0</v>
      </c>
      <c r="C78" s="17">
        <f>Data!C61</f>
        <v>0</v>
      </c>
      <c r="D78" s="17">
        <f>Data!D61</f>
        <v>0</v>
      </c>
      <c r="E78" s="17" t="s">
        <v>44</v>
      </c>
      <c r="F78" s="17">
        <f>Data!H61</f>
        <v>0</v>
      </c>
      <c r="G78" s="51">
        <f>Data!J61</f>
        <v>0</v>
      </c>
    </row>
    <row r="79" spans="1:7" x14ac:dyDescent="0.25">
      <c r="A79" s="88" t="s">
        <v>39</v>
      </c>
      <c r="B79" s="17">
        <f>Data!B62</f>
        <v>0</v>
      </c>
      <c r="C79" s="17">
        <f>Data!C62</f>
        <v>0</v>
      </c>
      <c r="D79" s="17">
        <f>Data!D62</f>
        <v>0</v>
      </c>
      <c r="E79" s="17" t="s">
        <v>44</v>
      </c>
      <c r="F79" s="17">
        <f>Data!H62</f>
        <v>0</v>
      </c>
      <c r="G79" s="51">
        <f>Data!J62</f>
        <v>0</v>
      </c>
    </row>
    <row r="80" spans="1:7" ht="18.75" x14ac:dyDescent="0.3">
      <c r="A80" s="122" t="s">
        <v>22</v>
      </c>
      <c r="B80" s="115"/>
      <c r="C80" s="116"/>
      <c r="D80" s="116"/>
      <c r="E80" s="116"/>
      <c r="F80" s="119"/>
      <c r="G80" s="186"/>
    </row>
    <row r="81" spans="1:7" x14ac:dyDescent="0.25">
      <c r="A81" s="88" t="s">
        <v>112</v>
      </c>
      <c r="B81" s="17" t="str">
        <f>Data!B64</f>
        <v>N/A</v>
      </c>
      <c r="C81" s="17" t="str">
        <f>Data!C64</f>
        <v>N/A</v>
      </c>
      <c r="D81" s="17">
        <f>Data!D64</f>
        <v>0</v>
      </c>
      <c r="E81" s="17" t="s">
        <v>47</v>
      </c>
      <c r="F81" s="17">
        <f>Data!H64</f>
        <v>0</v>
      </c>
      <c r="G81" s="51">
        <f>Data!J64</f>
        <v>0</v>
      </c>
    </row>
    <row r="82" spans="1:7" x14ac:dyDescent="0.25">
      <c r="A82" s="88" t="s">
        <v>42</v>
      </c>
      <c r="B82" s="17" t="str">
        <f>Data!B65</f>
        <v>N/A</v>
      </c>
      <c r="C82" s="17" t="str">
        <f>Data!C65</f>
        <v>N/A</v>
      </c>
      <c r="D82" s="17">
        <f>Data!D65</f>
        <v>0</v>
      </c>
      <c r="E82" s="17" t="s">
        <v>47</v>
      </c>
      <c r="F82" s="17">
        <f>Data!H65</f>
        <v>0</v>
      </c>
      <c r="G82" s="51">
        <f>Data!J65</f>
        <v>0</v>
      </c>
    </row>
    <row r="83" spans="1:7" x14ac:dyDescent="0.25">
      <c r="A83" s="88" t="s">
        <v>41</v>
      </c>
      <c r="B83" s="17" t="str">
        <f>Data!B66</f>
        <v>N/A</v>
      </c>
      <c r="C83" s="17" t="str">
        <f>Data!C66</f>
        <v>N/A</v>
      </c>
      <c r="D83" s="17">
        <f>Data!D66</f>
        <v>0</v>
      </c>
      <c r="E83" s="17" t="s">
        <v>45</v>
      </c>
      <c r="F83" s="17">
        <f>Data!H66</f>
        <v>0</v>
      </c>
      <c r="G83" s="51">
        <f>Data!J66</f>
        <v>0</v>
      </c>
    </row>
    <row r="84" spans="1:7" x14ac:dyDescent="0.25">
      <c r="A84" s="88" t="s">
        <v>113</v>
      </c>
      <c r="B84" s="17" t="str">
        <f>Data!B67</f>
        <v>N/A</v>
      </c>
      <c r="C84" s="17" t="str">
        <f>Data!C67</f>
        <v>N/A</v>
      </c>
      <c r="D84" s="17">
        <f>Data!D67</f>
        <v>0</v>
      </c>
      <c r="E84" s="17" t="s">
        <v>72</v>
      </c>
      <c r="F84" s="17">
        <f>Data!H67</f>
        <v>0</v>
      </c>
      <c r="G84" s="51">
        <f>Data!J67</f>
        <v>0</v>
      </c>
    </row>
    <row r="85" spans="1:7" x14ac:dyDescent="0.25">
      <c r="A85" s="88" t="s">
        <v>114</v>
      </c>
      <c r="B85" s="17" t="str">
        <f>Data!B68</f>
        <v>N/A</v>
      </c>
      <c r="C85" s="17" t="str">
        <f>Data!C68</f>
        <v>N/A</v>
      </c>
      <c r="D85" s="17">
        <f>Data!D68</f>
        <v>0</v>
      </c>
      <c r="E85" s="17" t="s">
        <v>89</v>
      </c>
      <c r="F85" s="17">
        <f>Data!H68</f>
        <v>0</v>
      </c>
      <c r="G85" s="51">
        <f>Data!J68</f>
        <v>0</v>
      </c>
    </row>
    <row r="86" spans="1:7" x14ac:dyDescent="0.25">
      <c r="A86" s="88" t="s">
        <v>115</v>
      </c>
      <c r="B86" s="17" t="str">
        <f>Data!B69</f>
        <v>N/A</v>
      </c>
      <c r="C86" s="17" t="str">
        <f>Data!C69</f>
        <v>N/A</v>
      </c>
      <c r="D86" s="17">
        <f>Data!D69</f>
        <v>0</v>
      </c>
      <c r="E86" s="17" t="s">
        <v>45</v>
      </c>
      <c r="F86" s="17">
        <f>Data!H69</f>
        <v>0</v>
      </c>
      <c r="G86" s="51">
        <f>Data!J69</f>
        <v>0</v>
      </c>
    </row>
    <row r="87" spans="1:7" ht="15.75" thickBot="1" x14ac:dyDescent="0.3">
      <c r="A87" s="89" t="s">
        <v>46</v>
      </c>
      <c r="B87" s="18" t="str">
        <f>Data!B70</f>
        <v>N/A</v>
      </c>
      <c r="C87" s="18" t="str">
        <f>Data!C70</f>
        <v>N/A</v>
      </c>
      <c r="D87" s="18" t="str">
        <f>Data!D70</f>
        <v>N/A</v>
      </c>
      <c r="E87" s="18" t="s">
        <v>47</v>
      </c>
      <c r="F87" s="18">
        <f>Data!H70</f>
        <v>0</v>
      </c>
      <c r="G87" s="52">
        <f>Data!J70</f>
        <v>0</v>
      </c>
    </row>
    <row r="88" spans="1:7" ht="22.5" customHeight="1" thickBot="1" x14ac:dyDescent="0.35">
      <c r="A88" s="84" t="s">
        <v>170</v>
      </c>
      <c r="B88" s="85">
        <f>Data!B71</f>
        <v>0</v>
      </c>
      <c r="C88" s="107">
        <f>Data!C71</f>
        <v>0</v>
      </c>
      <c r="D88" s="2"/>
      <c r="E88" s="2"/>
      <c r="F88" s="2"/>
      <c r="G88" s="2"/>
    </row>
    <row r="91" spans="1:7" ht="15.75" thickBot="1" x14ac:dyDescent="0.3"/>
    <row r="92" spans="1:7" ht="21" x14ac:dyDescent="0.35">
      <c r="A92" s="188" t="s">
        <v>137</v>
      </c>
      <c r="B92" s="189" t="s">
        <v>31</v>
      </c>
      <c r="C92" s="190" t="s">
        <v>35</v>
      </c>
      <c r="D92" s="193" t="s">
        <v>187</v>
      </c>
    </row>
    <row r="93" spans="1:7" x14ac:dyDescent="0.25">
      <c r="A93" s="98" t="s">
        <v>140</v>
      </c>
      <c r="B93" s="17">
        <f>Data!P53</f>
        <v>0</v>
      </c>
      <c r="C93" s="17">
        <f>Data!R53</f>
        <v>0</v>
      </c>
      <c r="D93" s="51">
        <f>Data!T53</f>
        <v>0</v>
      </c>
    </row>
    <row r="94" spans="1:7" x14ac:dyDescent="0.25">
      <c r="A94" s="98" t="s">
        <v>141</v>
      </c>
      <c r="B94" s="17">
        <f>Data!P54</f>
        <v>0</v>
      </c>
      <c r="C94" s="17">
        <f>Data!R54</f>
        <v>0</v>
      </c>
      <c r="D94" s="51">
        <f>Data!T54</f>
        <v>0</v>
      </c>
    </row>
    <row r="95" spans="1:7" x14ac:dyDescent="0.25">
      <c r="A95" s="98" t="s">
        <v>142</v>
      </c>
      <c r="B95" s="17">
        <f>Data!P55</f>
        <v>0</v>
      </c>
      <c r="C95" s="17">
        <f>Data!R55</f>
        <v>0</v>
      </c>
      <c r="D95" s="51">
        <f>Data!T55</f>
        <v>0</v>
      </c>
    </row>
    <row r="96" spans="1:7" x14ac:dyDescent="0.25">
      <c r="A96" s="98" t="s">
        <v>143</v>
      </c>
      <c r="B96" s="17">
        <f>Data!P56</f>
        <v>0</v>
      </c>
      <c r="C96" s="17">
        <f>Data!R56</f>
        <v>0</v>
      </c>
      <c r="D96" s="51">
        <f>Data!T56</f>
        <v>0</v>
      </c>
    </row>
    <row r="97" spans="1:8" x14ac:dyDescent="0.25">
      <c r="A97" s="98" t="s">
        <v>145</v>
      </c>
      <c r="B97" s="17">
        <f>Data!P57</f>
        <v>0</v>
      </c>
      <c r="C97" s="17">
        <f>Data!R57</f>
        <v>0</v>
      </c>
      <c r="D97" s="51">
        <f>Data!T57</f>
        <v>0</v>
      </c>
    </row>
    <row r="98" spans="1:8" x14ac:dyDescent="0.25">
      <c r="A98" s="98" t="s">
        <v>155</v>
      </c>
      <c r="B98" s="17">
        <f>Data!P58</f>
        <v>0</v>
      </c>
      <c r="C98" s="17">
        <f>Data!R58</f>
        <v>0</v>
      </c>
      <c r="D98" s="51">
        <f>Data!T58</f>
        <v>0</v>
      </c>
    </row>
    <row r="99" spans="1:8" ht="15.75" thickBot="1" x14ac:dyDescent="0.3">
      <c r="A99" s="99" t="s">
        <v>154</v>
      </c>
      <c r="B99" s="18">
        <f>Data!P59</f>
        <v>0</v>
      </c>
      <c r="C99" s="18">
        <f>Data!R59</f>
        <v>0</v>
      </c>
      <c r="D99" s="52">
        <f>Data!T59</f>
        <v>0</v>
      </c>
    </row>
    <row r="100" spans="1:8" ht="19.5" thickBot="1" x14ac:dyDescent="0.35">
      <c r="A100" s="191" t="s">
        <v>144</v>
      </c>
      <c r="B100" s="100">
        <f>Data!P60</f>
        <v>0</v>
      </c>
      <c r="E100" s="79"/>
      <c r="F100" s="79"/>
      <c r="G100" s="79"/>
      <c r="H100" s="2"/>
    </row>
    <row r="106" spans="1:8" ht="15.75" thickBot="1" x14ac:dyDescent="0.3"/>
    <row r="107" spans="1:8" ht="21" x14ac:dyDescent="0.35">
      <c r="A107" s="72" t="s">
        <v>146</v>
      </c>
      <c r="B107" s="73" t="s">
        <v>31</v>
      </c>
      <c r="C107" s="73" t="s">
        <v>162</v>
      </c>
      <c r="D107" s="111" t="s">
        <v>35</v>
      </c>
      <c r="E107" s="73" t="s">
        <v>32</v>
      </c>
      <c r="F107" s="97" t="s">
        <v>36</v>
      </c>
    </row>
    <row r="108" spans="1:8" x14ac:dyDescent="0.25">
      <c r="A108" s="98" t="s">
        <v>147</v>
      </c>
      <c r="B108" s="17">
        <f>Data!X19</f>
        <v>2</v>
      </c>
      <c r="C108" s="7">
        <f>Data!Y19</f>
        <v>0</v>
      </c>
      <c r="D108" s="192">
        <f>Data!AA19</f>
        <v>0</v>
      </c>
      <c r="E108" s="17" t="str">
        <f>Data!AB19</f>
        <v>1+n ppl/hr</v>
      </c>
      <c r="F108" s="195">
        <f>Data!AD19</f>
        <v>0</v>
      </c>
    </row>
    <row r="109" spans="1:8" x14ac:dyDescent="0.25">
      <c r="A109" s="98" t="s">
        <v>149</v>
      </c>
      <c r="B109" s="17">
        <f>Data!X20</f>
        <v>0</v>
      </c>
      <c r="C109" s="7" t="str">
        <f>Data!Y20</f>
        <v>N/A</v>
      </c>
      <c r="D109" s="192">
        <f>Data!AA20</f>
        <v>0</v>
      </c>
      <c r="E109" s="17" t="str">
        <f>Data!AB20</f>
        <v>km</v>
      </c>
      <c r="F109" s="195">
        <f>Data!AD20</f>
        <v>0</v>
      </c>
    </row>
    <row r="110" spans="1:8" x14ac:dyDescent="0.25">
      <c r="A110" s="98" t="s">
        <v>68</v>
      </c>
      <c r="B110" s="17">
        <f>Data!X21</f>
        <v>0</v>
      </c>
      <c r="C110" s="7" t="str">
        <f>Data!Y21</f>
        <v>N/A</v>
      </c>
      <c r="D110" s="192">
        <f>Data!AA21</f>
        <v>0</v>
      </c>
      <c r="E110" s="17" t="str">
        <f>Data!AB21</f>
        <v>nights</v>
      </c>
      <c r="F110" s="195">
        <f>Data!AD21</f>
        <v>0</v>
      </c>
    </row>
    <row r="111" spans="1:8" x14ac:dyDescent="0.25">
      <c r="A111" s="98" t="s">
        <v>150</v>
      </c>
      <c r="B111" s="17">
        <f>Data!X22</f>
        <v>0</v>
      </c>
      <c r="C111" s="7" t="str">
        <f>Data!Y22</f>
        <v>N/A</v>
      </c>
      <c r="D111" s="192">
        <f>Data!AA22</f>
        <v>0</v>
      </c>
      <c r="E111" s="17" t="str">
        <f>Data!AB22</f>
        <v>N/A</v>
      </c>
      <c r="F111" s="195">
        <f>Data!AD22</f>
        <v>0</v>
      </c>
    </row>
    <row r="112" spans="1:8" x14ac:dyDescent="0.25">
      <c r="A112" s="98" t="s">
        <v>151</v>
      </c>
      <c r="B112" s="17">
        <f>Data!X23</f>
        <v>0</v>
      </c>
      <c r="C112" s="7" t="str">
        <f>Data!Y23</f>
        <v>N/A</v>
      </c>
      <c r="D112" s="192">
        <f>Data!AA23</f>
        <v>0</v>
      </c>
      <c r="E112" s="17" t="str">
        <f>Data!AB23</f>
        <v>N/A</v>
      </c>
      <c r="F112" s="195">
        <f>Data!AD23</f>
        <v>0</v>
      </c>
    </row>
    <row r="113" spans="1:10" x14ac:dyDescent="0.25">
      <c r="A113" s="98" t="s">
        <v>152</v>
      </c>
      <c r="B113" s="17" t="str">
        <f>Data!X24</f>
        <v>N/A</v>
      </c>
      <c r="C113" s="7" t="str">
        <f>Data!Y24</f>
        <v>N/A</v>
      </c>
      <c r="D113" s="192">
        <f>Data!AA24</f>
        <v>0</v>
      </c>
      <c r="E113" s="17" t="str">
        <f>Data!AB24</f>
        <v>N/A</v>
      </c>
      <c r="F113" s="195">
        <f>Data!AD24</f>
        <v>0</v>
      </c>
    </row>
    <row r="114" spans="1:10" x14ac:dyDescent="0.25">
      <c r="A114" s="98" t="s">
        <v>9</v>
      </c>
      <c r="B114" s="17">
        <f>Data!X25</f>
        <v>0</v>
      </c>
      <c r="C114" s="7">
        <f>Data!Y25</f>
        <v>0</v>
      </c>
      <c r="D114" s="192">
        <f>Data!AA25</f>
        <v>0</v>
      </c>
      <c r="E114" s="17">
        <f>Data!AB25</f>
        <v>0</v>
      </c>
      <c r="F114" s="195">
        <f>Data!AD25</f>
        <v>0</v>
      </c>
    </row>
    <row r="115" spans="1:10" x14ac:dyDescent="0.25">
      <c r="A115" s="105" t="s">
        <v>161</v>
      </c>
      <c r="B115" s="17" t="str">
        <f>Data!X26</f>
        <v>N/A</v>
      </c>
      <c r="C115" s="7" t="str">
        <f>Data!Y26</f>
        <v>N/A</v>
      </c>
      <c r="D115" s="192">
        <f>Data!AA26</f>
        <v>0</v>
      </c>
      <c r="E115" s="17" t="str">
        <f>Data!AB26</f>
        <v>N/A</v>
      </c>
      <c r="F115" s="195">
        <f>Data!AD26</f>
        <v>0</v>
      </c>
    </row>
    <row r="116" spans="1:10" x14ac:dyDescent="0.25">
      <c r="A116" s="98" t="s">
        <v>153</v>
      </c>
      <c r="B116" s="17">
        <f>Data!X27</f>
        <v>0</v>
      </c>
      <c r="C116" s="7" t="str">
        <f>Data!Y27</f>
        <v>N/A</v>
      </c>
      <c r="D116" s="192">
        <f>Data!AA27</f>
        <v>0</v>
      </c>
      <c r="E116" s="17" t="str">
        <f>Data!AB27</f>
        <v>N/A</v>
      </c>
      <c r="F116" s="195">
        <f>Data!AD27</f>
        <v>0</v>
      </c>
    </row>
    <row r="117" spans="1:10" ht="15.75" thickBot="1" x14ac:dyDescent="0.3">
      <c r="A117" s="106" t="s">
        <v>145</v>
      </c>
      <c r="B117" s="18" t="str">
        <f>Data!X28</f>
        <v>N/A</v>
      </c>
      <c r="C117" s="11" t="str">
        <f>Data!Y28</f>
        <v>N/A</v>
      </c>
      <c r="D117" s="194">
        <f>Data!AA28</f>
        <v>0</v>
      </c>
      <c r="E117" s="18" t="str">
        <f>Data!AB28</f>
        <v>N/A</v>
      </c>
      <c r="F117" s="196">
        <f>Data!AD28</f>
        <v>0</v>
      </c>
    </row>
    <row r="118" spans="1:10" ht="19.5" thickBot="1" x14ac:dyDescent="0.35">
      <c r="A118" s="84" t="s">
        <v>157</v>
      </c>
      <c r="B118" s="85">
        <f>Data!X29</f>
        <v>0</v>
      </c>
      <c r="C118" s="2"/>
      <c r="D118" s="2"/>
      <c r="E118" s="2"/>
      <c r="F118" s="2"/>
      <c r="G118" s="2"/>
      <c r="H118" s="2"/>
      <c r="I118" s="2"/>
      <c r="J118" s="2"/>
    </row>
  </sheetData>
  <mergeCells count="1">
    <mergeCell ref="A1:G1"/>
  </mergeCells>
  <dataValidations count="4">
    <dataValidation type="decimal" operator="greaterThanOrEqual" allowBlank="1" showInputMessage="1" showErrorMessage="1" sqref="B18:C19 F21:F27 B36:C42 B33:C34 B51:C57 B48:C49 B66:C72 B63:C64 B81:C87 B78:C79">
      <formula1>0</formula1>
    </dataValidation>
    <dataValidation type="whole" operator="greaterThanOrEqual" allowBlank="1" showInputMessage="1" showErrorMessage="1" sqref="D21:D27 B93:B99">
      <formula1>0</formula1>
    </dataValidation>
    <dataValidation operator="greaterThanOrEqual" allowBlank="1" showInputMessage="1" showErrorMessage="1" sqref="B100:D100"/>
    <dataValidation type="whole" operator="greaterThanOrEqual" allowBlank="1" showInputMessage="1" showErrorMessage="1" sqref="B108:B117">
      <formula1>2</formula1>
    </dataValidation>
  </dataValidations>
  <pageMargins left="0.45" right="0.45" top="1.25" bottom="1.5" header="0.3" footer="0.3"/>
  <pageSetup scale="83" fitToHeight="0" orientation="landscape"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'Drop Down'!$A$2:$A$8</xm:f>
          </x14:formula1>
          <xm:sqref>B76</xm:sqref>
        </x14:dataValidation>
        <x14:dataValidation type="list" allowBlank="1" showInputMessage="1" showErrorMessage="1">
          <x14:formula1>
            <xm:f>'Drop Down'!$A$2:$A$8</xm:f>
          </x14:formula1>
          <xm:sqref>B16 B31 B46 B61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
  <sheetViews>
    <sheetView workbookViewId="0">
      <selection activeCell="C13" sqref="C13"/>
    </sheetView>
  </sheetViews>
  <sheetFormatPr defaultRowHeight="15" x14ac:dyDescent="0.25"/>
  <cols>
    <col min="1" max="1" width="14.42578125" bestFit="1" customWidth="1"/>
    <col min="2" max="2" width="10.5703125" bestFit="1" customWidth="1"/>
    <col min="3" max="3" width="7.85546875" bestFit="1" customWidth="1"/>
    <col min="4" max="4" width="4" bestFit="1" customWidth="1"/>
    <col min="5" max="5" width="21" bestFit="1" customWidth="1"/>
    <col min="6" max="6" width="22" bestFit="1" customWidth="1"/>
    <col min="7" max="7" width="15.140625" bestFit="1" customWidth="1"/>
    <col min="8" max="8" width="12.42578125" bestFit="1" customWidth="1"/>
    <col min="9" max="9" width="14.28515625" customWidth="1"/>
  </cols>
  <sheetData>
    <row r="1" spans="1:9" x14ac:dyDescent="0.25">
      <c r="A1" s="2" t="s">
        <v>83</v>
      </c>
      <c r="B1" s="2"/>
      <c r="C1" s="2"/>
      <c r="D1" s="2"/>
      <c r="F1" s="2"/>
      <c r="G1" s="2" t="s">
        <v>108</v>
      </c>
    </row>
    <row r="2" spans="1:9" x14ac:dyDescent="0.25">
      <c r="A2" s="2" t="s">
        <v>64</v>
      </c>
      <c r="B2" s="2" t="s">
        <v>92</v>
      </c>
      <c r="C2" s="2" t="s">
        <v>94</v>
      </c>
      <c r="D2" s="2" t="s">
        <v>95</v>
      </c>
      <c r="E2" s="2" t="s">
        <v>99</v>
      </c>
      <c r="F2" s="2" t="s">
        <v>101</v>
      </c>
      <c r="G2" s="2" t="s">
        <v>75</v>
      </c>
      <c r="H2" s="2" t="s">
        <v>82</v>
      </c>
      <c r="I2" s="2" t="s">
        <v>166</v>
      </c>
    </row>
    <row r="3" spans="1:9" x14ac:dyDescent="0.25">
      <c r="A3" s="2" t="s">
        <v>0</v>
      </c>
      <c r="B3" s="2" t="s">
        <v>93</v>
      </c>
      <c r="C3" s="2" t="s">
        <v>104</v>
      </c>
      <c r="D3" s="2" t="s">
        <v>96</v>
      </c>
      <c r="E3" s="2" t="s">
        <v>106</v>
      </c>
      <c r="F3" s="2" t="s">
        <v>102</v>
      </c>
      <c r="G3" s="2" t="s">
        <v>76</v>
      </c>
      <c r="H3" s="2" t="s">
        <v>160</v>
      </c>
      <c r="I3" s="2" t="s">
        <v>167</v>
      </c>
    </row>
    <row r="4" spans="1:9" x14ac:dyDescent="0.25">
      <c r="A4" s="2" t="s">
        <v>1</v>
      </c>
      <c r="B4" s="2"/>
      <c r="C4" s="2"/>
      <c r="D4" s="2"/>
      <c r="E4" s="2" t="s">
        <v>105</v>
      </c>
      <c r="F4" s="2" t="s">
        <v>103</v>
      </c>
      <c r="G4" s="2" t="s">
        <v>77</v>
      </c>
      <c r="I4" s="2" t="s">
        <v>168</v>
      </c>
    </row>
    <row r="5" spans="1:9" x14ac:dyDescent="0.25">
      <c r="A5" s="2" t="s">
        <v>2</v>
      </c>
      <c r="B5" s="2"/>
      <c r="C5" s="2"/>
      <c r="D5" s="2"/>
      <c r="E5" s="2" t="s">
        <v>98</v>
      </c>
      <c r="F5" s="2"/>
      <c r="G5" s="2"/>
    </row>
    <row r="6" spans="1:9" x14ac:dyDescent="0.25">
      <c r="A6" s="2" t="s">
        <v>3</v>
      </c>
      <c r="B6" s="2"/>
      <c r="C6" s="2"/>
      <c r="D6" s="2"/>
      <c r="E6" s="2" t="s">
        <v>100</v>
      </c>
      <c r="F6" s="2"/>
      <c r="G6" s="2"/>
    </row>
    <row r="7" spans="1:9" x14ac:dyDescent="0.25">
      <c r="A7" s="2" t="s">
        <v>190</v>
      </c>
      <c r="B7" s="2"/>
      <c r="C7" s="2"/>
      <c r="D7" s="2"/>
      <c r="E7" s="2" t="s">
        <v>107</v>
      </c>
      <c r="F7" s="2"/>
      <c r="G7" s="2"/>
    </row>
    <row r="8" spans="1:9" x14ac:dyDescent="0.25">
      <c r="A8" s="2" t="s">
        <v>191</v>
      </c>
      <c r="B8" s="2"/>
      <c r="C8" s="2"/>
      <c r="D8" s="2"/>
      <c r="E8" s="2" t="s">
        <v>97</v>
      </c>
      <c r="F8" s="2"/>
      <c r="G8" s="2"/>
    </row>
    <row r="9" spans="1:9" x14ac:dyDescent="0.25">
      <c r="A9" s="2"/>
      <c r="B9" s="2"/>
      <c r="C9" s="2"/>
      <c r="D9" s="2"/>
      <c r="E9" s="2" t="s">
        <v>22</v>
      </c>
      <c r="F9" s="2"/>
      <c r="G9" s="2"/>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Reference</vt:lpstr>
      <vt:lpstr>Data</vt:lpstr>
      <vt:lpstr>Fixed Curtain Rep Copy</vt:lpstr>
      <vt:lpstr>Printable Version</vt:lpstr>
      <vt:lpstr>Drop Down</vt:lpstr>
      <vt:lpstr>'Printable Version'!Print_Area</vt:lpstr>
      <vt:lpstr>Reference!Print_Area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2016-11-28T21:44:47Z</cp:lastPrinted>
  <dcterms:created xsi:type="dcterms:W3CDTF">2016-09-09T15:32:22Z</dcterms:created>
  <dcterms:modified xsi:type="dcterms:W3CDTF">2016-12-14T17:08:01Z</dcterms:modified>
</cp:coreProperties>
</file>