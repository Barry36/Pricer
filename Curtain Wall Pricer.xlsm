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20490" windowHeight="6930"/>
  </bookViews>
  <sheets>
    <sheet name="Fixed Curtain Officr Copy" sheetId="2" r:id="rId1"/>
    <sheet name="Fixed Curtain Rep Copy" sheetId="3" r:id="rId2"/>
    <sheet name="Printable Version" sheetId="4" r:id="rId3"/>
    <sheet name="Empty Take-off" sheetId="5" r:id="rId4"/>
    <sheet name="Outside Printable Version" sheetId="6" r:id="rId5"/>
  </sheets>
  <functionGroups builtInGroupCount="17"/>
  <definedNames>
    <definedName name="_xlnm.Print_Area" localSheetId="3">'Empty Take-off'!$A$1:$F$123</definedName>
    <definedName name="_xlnm.Print_Area" localSheetId="0">'Fixed Curtain Officr Copy'!$A$1:$AJ$91</definedName>
    <definedName name="_xlnm.Print_Area" localSheetId="4">'Outside Printable Version'!$A$1:$F$134</definedName>
    <definedName name="_xlnm.Print_Area" localSheetId="2">'Printable Version'!$A$1:$G$149</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G5" i="2" l="1"/>
  <c r="B2" i="6"/>
  <c r="B3" i="6"/>
  <c r="B4" i="6"/>
  <c r="B5" i="6"/>
  <c r="B6" i="6"/>
  <c r="B9" i="6"/>
  <c r="B10" i="6"/>
  <c r="B7" i="6"/>
  <c r="F5" i="2"/>
  <c r="H5" i="2"/>
  <c r="J5" i="2"/>
  <c r="D5" i="2"/>
  <c r="K5" i="2"/>
  <c r="F6" i="2"/>
  <c r="G6" i="2"/>
  <c r="H6" i="2"/>
  <c r="J6" i="2"/>
  <c r="D6" i="2"/>
  <c r="K6" i="2"/>
  <c r="F8" i="2"/>
  <c r="G8" i="2"/>
  <c r="H8" i="2"/>
  <c r="J8" i="2"/>
  <c r="D8" i="2"/>
  <c r="K8" i="2"/>
  <c r="K9" i="2"/>
  <c r="K10" i="2"/>
  <c r="K11" i="2"/>
  <c r="F12" i="2"/>
  <c r="G12" i="2"/>
  <c r="H12" i="2"/>
  <c r="J12" i="2"/>
  <c r="D12" i="2"/>
  <c r="K12" i="2"/>
  <c r="K14" i="2"/>
  <c r="J18" i="2"/>
  <c r="K18" i="2"/>
  <c r="K13" i="2"/>
  <c r="F15" i="2"/>
  <c r="G15" i="2"/>
  <c r="H15" i="2"/>
  <c r="J15" i="2"/>
  <c r="D15" i="2"/>
  <c r="K15" i="2"/>
  <c r="F16" i="2"/>
  <c r="G16" i="2"/>
  <c r="H16" i="2"/>
  <c r="J16" i="2"/>
  <c r="D16" i="2"/>
  <c r="K16" i="2"/>
  <c r="F17" i="2"/>
  <c r="G17" i="2"/>
  <c r="H17" i="2"/>
  <c r="J17" i="2"/>
  <c r="D17" i="2"/>
  <c r="K17" i="2"/>
  <c r="B19" i="2"/>
  <c r="F25" i="2"/>
  <c r="G25" i="2"/>
  <c r="H25" i="2"/>
  <c r="J25" i="2"/>
  <c r="D25" i="2"/>
  <c r="K25" i="2"/>
  <c r="F26" i="2"/>
  <c r="G26" i="2"/>
  <c r="H26" i="2"/>
  <c r="J26" i="2"/>
  <c r="D26" i="2"/>
  <c r="K26" i="2"/>
  <c r="F28" i="2"/>
  <c r="G28" i="2"/>
  <c r="H28" i="2"/>
  <c r="J28" i="2"/>
  <c r="D28" i="2"/>
  <c r="K28" i="2"/>
  <c r="K29" i="2"/>
  <c r="K30" i="2"/>
  <c r="K31" i="2"/>
  <c r="F32" i="2"/>
  <c r="G32" i="2"/>
  <c r="H32" i="2"/>
  <c r="J32" i="2"/>
  <c r="K32" i="2"/>
  <c r="K34" i="2"/>
  <c r="J38" i="2"/>
  <c r="K38" i="2"/>
  <c r="K33" i="2"/>
  <c r="F35" i="2"/>
  <c r="G35" i="2"/>
  <c r="H35" i="2"/>
  <c r="J35" i="2"/>
  <c r="D35" i="2"/>
  <c r="K35" i="2"/>
  <c r="F36" i="2"/>
  <c r="G36" i="2"/>
  <c r="H36" i="2"/>
  <c r="J36" i="2"/>
  <c r="D36" i="2"/>
  <c r="K36" i="2"/>
  <c r="F37" i="2"/>
  <c r="G37" i="2"/>
  <c r="H37" i="2"/>
  <c r="J37" i="2"/>
  <c r="K37" i="2"/>
  <c r="B39" i="2"/>
  <c r="F45" i="2"/>
  <c r="G45" i="2"/>
  <c r="H45" i="2"/>
  <c r="J45" i="2"/>
  <c r="D45" i="2"/>
  <c r="K45" i="2"/>
  <c r="F46" i="2"/>
  <c r="G46" i="2"/>
  <c r="H46" i="2"/>
  <c r="J46" i="2"/>
  <c r="D46" i="2"/>
  <c r="K46" i="2"/>
  <c r="F48" i="2"/>
  <c r="G48" i="2"/>
  <c r="H48" i="2"/>
  <c r="J48" i="2"/>
  <c r="D48" i="2"/>
  <c r="K48" i="2"/>
  <c r="K49" i="2"/>
  <c r="K50" i="2"/>
  <c r="K51" i="2"/>
  <c r="F52" i="2"/>
  <c r="G52" i="2"/>
  <c r="H52" i="2"/>
  <c r="J52" i="2"/>
  <c r="D52" i="2"/>
  <c r="K52" i="2"/>
  <c r="K54" i="2"/>
  <c r="J58" i="2"/>
  <c r="K58" i="2"/>
  <c r="K53" i="2"/>
  <c r="F55" i="2"/>
  <c r="G55" i="2"/>
  <c r="H55" i="2"/>
  <c r="J55" i="2"/>
  <c r="D55" i="2"/>
  <c r="K55" i="2"/>
  <c r="F56" i="2"/>
  <c r="G56" i="2"/>
  <c r="H56" i="2"/>
  <c r="J56" i="2"/>
  <c r="D56" i="2"/>
  <c r="K56" i="2"/>
  <c r="F57" i="2"/>
  <c r="G57" i="2"/>
  <c r="H57" i="2"/>
  <c r="J57" i="2"/>
  <c r="D57" i="2"/>
  <c r="K57" i="2"/>
  <c r="B59" i="2"/>
  <c r="F65" i="2"/>
  <c r="G65" i="2"/>
  <c r="H65" i="2"/>
  <c r="J65" i="2"/>
  <c r="D65" i="2"/>
  <c r="K65" i="2"/>
  <c r="F66" i="2"/>
  <c r="G66" i="2"/>
  <c r="H66" i="2"/>
  <c r="J66" i="2"/>
  <c r="D66" i="2"/>
  <c r="K66" i="2"/>
  <c r="F68" i="2"/>
  <c r="G68" i="2"/>
  <c r="H68" i="2"/>
  <c r="J68" i="2"/>
  <c r="D68" i="2"/>
  <c r="K68" i="2"/>
  <c r="K69" i="2"/>
  <c r="K70" i="2"/>
  <c r="K71" i="2"/>
  <c r="F72" i="2"/>
  <c r="G72" i="2"/>
  <c r="H72" i="2"/>
  <c r="J72" i="2"/>
  <c r="D72" i="2"/>
  <c r="K72" i="2"/>
  <c r="K74" i="2"/>
  <c r="J78" i="2"/>
  <c r="K78" i="2"/>
  <c r="K73" i="2"/>
  <c r="F75" i="2"/>
  <c r="G75" i="2"/>
  <c r="H75" i="2"/>
  <c r="J75" i="2"/>
  <c r="D75" i="2"/>
  <c r="K75" i="2"/>
  <c r="F76" i="2"/>
  <c r="G76" i="2"/>
  <c r="H76" i="2"/>
  <c r="J76" i="2"/>
  <c r="D76" i="2"/>
  <c r="K76" i="2"/>
  <c r="F77" i="2"/>
  <c r="G77" i="2"/>
  <c r="H77" i="2"/>
  <c r="J77" i="2"/>
  <c r="D77" i="2"/>
  <c r="K77" i="2"/>
  <c r="B79" i="2"/>
  <c r="F85" i="2"/>
  <c r="G85" i="2"/>
  <c r="H85" i="2"/>
  <c r="J85" i="2"/>
  <c r="D85" i="2"/>
  <c r="K85" i="2"/>
  <c r="F86" i="2"/>
  <c r="G86" i="2"/>
  <c r="H86" i="2"/>
  <c r="J86" i="2"/>
  <c r="D86" i="2"/>
  <c r="K86" i="2"/>
  <c r="F88" i="2"/>
  <c r="G88" i="2"/>
  <c r="H88" i="2"/>
  <c r="J88" i="2"/>
  <c r="D88" i="2"/>
  <c r="K88" i="2"/>
  <c r="K89" i="2"/>
  <c r="K90" i="2"/>
  <c r="K91" i="2"/>
  <c r="F92" i="2"/>
  <c r="G92" i="2"/>
  <c r="H92" i="2"/>
  <c r="J92" i="2"/>
  <c r="D92" i="2"/>
  <c r="K92" i="2"/>
  <c r="K94" i="2"/>
  <c r="J98" i="2"/>
  <c r="K98" i="2"/>
  <c r="K93" i="2"/>
  <c r="F95" i="2"/>
  <c r="G95" i="2"/>
  <c r="H95" i="2"/>
  <c r="J95" i="2"/>
  <c r="D95" i="2"/>
  <c r="K95" i="2"/>
  <c r="F96" i="2"/>
  <c r="G96" i="2"/>
  <c r="H96" i="2"/>
  <c r="J96" i="2"/>
  <c r="D96" i="2"/>
  <c r="K96" i="2"/>
  <c r="F97" i="2"/>
  <c r="G97" i="2"/>
  <c r="H97" i="2"/>
  <c r="J97" i="2"/>
  <c r="D97" i="2"/>
  <c r="K97" i="2"/>
  <c r="B99" i="2"/>
  <c r="T5" i="2"/>
  <c r="U5" i="2"/>
  <c r="V5" i="2"/>
  <c r="X5" i="2"/>
  <c r="D91" i="2"/>
  <c r="D89" i="2"/>
  <c r="D13" i="2"/>
  <c r="D11" i="2"/>
  <c r="D14" i="2"/>
  <c r="D9" i="2"/>
  <c r="D29" i="2"/>
  <c r="D34" i="2"/>
  <c r="D31" i="2"/>
  <c r="D33" i="2"/>
  <c r="D49" i="2"/>
  <c r="D53" i="2"/>
  <c r="D51" i="2"/>
  <c r="D69" i="2"/>
  <c r="D71" i="2"/>
  <c r="Q5" i="2"/>
  <c r="R5" i="2"/>
  <c r="Y5" i="2"/>
  <c r="T6" i="2"/>
  <c r="U6" i="2"/>
  <c r="V6" i="2"/>
  <c r="X6" i="2"/>
  <c r="Q6" i="2"/>
  <c r="R6" i="2"/>
  <c r="Y6" i="2"/>
  <c r="T7" i="2"/>
  <c r="U7" i="2"/>
  <c r="V7" i="2"/>
  <c r="X7" i="2"/>
  <c r="R7" i="2"/>
  <c r="Y7" i="2"/>
  <c r="T8" i="2"/>
  <c r="U8" i="2"/>
  <c r="V8" i="2"/>
  <c r="X8" i="2"/>
  <c r="R8" i="2"/>
  <c r="Y8" i="2"/>
  <c r="T9" i="2"/>
  <c r="U9" i="2"/>
  <c r="V9" i="2"/>
  <c r="X9" i="2"/>
  <c r="R9" i="2"/>
  <c r="Y9" i="2"/>
  <c r="T10" i="2"/>
  <c r="U10" i="2"/>
  <c r="V10" i="2"/>
  <c r="X10" i="2"/>
  <c r="R10" i="2"/>
  <c r="Y10" i="2"/>
  <c r="X11" i="2"/>
  <c r="Y11" i="2"/>
  <c r="X12" i="2"/>
  <c r="Y12" i="2"/>
  <c r="X13" i="2"/>
  <c r="Y13" i="2"/>
  <c r="P14" i="2"/>
  <c r="D146" i="2"/>
  <c r="AE5" i="2"/>
  <c r="AG5" i="2"/>
  <c r="AH5" i="2"/>
  <c r="D147" i="2"/>
  <c r="AE6" i="2"/>
  <c r="AG6" i="2"/>
  <c r="AH6" i="2"/>
  <c r="D148" i="2"/>
  <c r="AE7" i="2"/>
  <c r="AG7" i="2"/>
  <c r="AH7" i="2"/>
  <c r="D131" i="2"/>
  <c r="AE8" i="2"/>
  <c r="AG8" i="2"/>
  <c r="AH8" i="2"/>
  <c r="D149" i="2"/>
  <c r="AE9" i="2"/>
  <c r="AG9" i="2"/>
  <c r="AH9" i="2"/>
  <c r="AD10" i="2"/>
  <c r="X37" i="2"/>
  <c r="Y37" i="2"/>
  <c r="T38" i="2"/>
  <c r="U38" i="2"/>
  <c r="V38" i="2"/>
  <c r="X38" i="2"/>
  <c r="Y38" i="2"/>
  <c r="P48" i="2"/>
  <c r="P26" i="2"/>
  <c r="P25" i="2"/>
  <c r="D2" i="6"/>
  <c r="R26" i="2"/>
  <c r="R25" i="2"/>
  <c r="D5" i="6"/>
  <c r="D3" i="6"/>
  <c r="D6" i="6"/>
  <c r="C134" i="6"/>
  <c r="C133" i="6"/>
  <c r="B133" i="6"/>
  <c r="C132" i="6"/>
  <c r="B132" i="6"/>
  <c r="C131" i="6"/>
  <c r="B131" i="6"/>
  <c r="C130" i="6"/>
  <c r="B130" i="6"/>
  <c r="C129" i="6"/>
  <c r="B129" i="6"/>
  <c r="F125" i="6"/>
  <c r="D125" i="6"/>
  <c r="F124" i="6"/>
  <c r="D124" i="6"/>
  <c r="E119" i="6"/>
  <c r="E118" i="6"/>
  <c r="R13" i="2"/>
  <c r="C118" i="6"/>
  <c r="B118" i="6"/>
  <c r="E117" i="6"/>
  <c r="R12" i="2"/>
  <c r="C117" i="6"/>
  <c r="B117" i="6"/>
  <c r="E116" i="6"/>
  <c r="R11" i="2"/>
  <c r="C116" i="6"/>
  <c r="B116" i="6"/>
  <c r="E115" i="6"/>
  <c r="C115" i="6"/>
  <c r="E114" i="6"/>
  <c r="C114" i="6"/>
  <c r="E113" i="6"/>
  <c r="C113" i="6"/>
  <c r="B113" i="6"/>
  <c r="E112" i="6"/>
  <c r="C112" i="6"/>
  <c r="B112" i="6"/>
  <c r="E111" i="6"/>
  <c r="C111" i="6"/>
  <c r="B111" i="6"/>
  <c r="E110" i="6"/>
  <c r="C110" i="6"/>
  <c r="B110" i="6"/>
  <c r="F106" i="6"/>
  <c r="D106" i="6"/>
  <c r="F105" i="6"/>
  <c r="D105" i="6"/>
  <c r="C105" i="6"/>
  <c r="B105" i="6"/>
  <c r="F104" i="6"/>
  <c r="D104" i="6"/>
  <c r="C104" i="6"/>
  <c r="B104" i="6"/>
  <c r="F103" i="6"/>
  <c r="D103" i="6"/>
  <c r="C103" i="6"/>
  <c r="B103" i="6"/>
  <c r="F102" i="6"/>
  <c r="D102" i="6"/>
  <c r="C102" i="6"/>
  <c r="B102" i="6"/>
  <c r="F101" i="6"/>
  <c r="D94" i="2"/>
  <c r="D101" i="6"/>
  <c r="C101" i="6"/>
  <c r="B101" i="6"/>
  <c r="F100" i="6"/>
  <c r="D93" i="2"/>
  <c r="D100" i="6"/>
  <c r="C100" i="6"/>
  <c r="B100" i="6"/>
  <c r="F99" i="6"/>
  <c r="D99" i="6"/>
  <c r="C99" i="6"/>
  <c r="B99" i="6"/>
  <c r="F98" i="6"/>
  <c r="D98" i="6"/>
  <c r="C98" i="6"/>
  <c r="B98" i="6"/>
  <c r="F97" i="6"/>
  <c r="D90" i="2"/>
  <c r="D97" i="6"/>
  <c r="C97" i="6"/>
  <c r="B97" i="6"/>
  <c r="F96" i="6"/>
  <c r="D96" i="6"/>
  <c r="C96" i="6"/>
  <c r="B96" i="6"/>
  <c r="F95" i="6"/>
  <c r="D95" i="6"/>
  <c r="C95" i="6"/>
  <c r="B95" i="6"/>
  <c r="F94" i="6"/>
  <c r="D94" i="6"/>
  <c r="C94" i="6"/>
  <c r="B94" i="6"/>
  <c r="F93" i="6"/>
  <c r="D93" i="6"/>
  <c r="C93" i="6"/>
  <c r="B93" i="6"/>
  <c r="F92" i="6"/>
  <c r="D92" i="6"/>
  <c r="C92" i="6"/>
  <c r="B92" i="6"/>
  <c r="C90" i="6"/>
  <c r="F87" i="6"/>
  <c r="D87" i="6"/>
  <c r="F86" i="6"/>
  <c r="D86" i="6"/>
  <c r="C86" i="6"/>
  <c r="B86" i="6"/>
  <c r="F85" i="6"/>
  <c r="D85" i="6"/>
  <c r="C85" i="6"/>
  <c r="B85" i="6"/>
  <c r="F84" i="6"/>
  <c r="D84" i="6"/>
  <c r="C84" i="6"/>
  <c r="B84" i="6"/>
  <c r="F83" i="6"/>
  <c r="D83" i="6"/>
  <c r="C83" i="6"/>
  <c r="B83" i="6"/>
  <c r="F82" i="6"/>
  <c r="D74" i="2"/>
  <c r="D82" i="6"/>
  <c r="C82" i="6"/>
  <c r="B82" i="6"/>
  <c r="F81" i="6"/>
  <c r="D73" i="2"/>
  <c r="D81" i="6"/>
  <c r="C81" i="6"/>
  <c r="B81" i="6"/>
  <c r="F80" i="6"/>
  <c r="D80" i="6"/>
  <c r="C80" i="6"/>
  <c r="B80" i="6"/>
  <c r="F79" i="6"/>
  <c r="D79" i="6"/>
  <c r="C79" i="6"/>
  <c r="B79" i="6"/>
  <c r="F78" i="6"/>
  <c r="D70" i="2"/>
  <c r="D78" i="6"/>
  <c r="C78" i="6"/>
  <c r="B78" i="6"/>
  <c r="F77" i="6"/>
  <c r="D77" i="6"/>
  <c r="C77" i="6"/>
  <c r="B77" i="6"/>
  <c r="F76" i="6"/>
  <c r="D76" i="6"/>
  <c r="C76" i="6"/>
  <c r="B76" i="6"/>
  <c r="F75" i="6"/>
  <c r="D75" i="6"/>
  <c r="C75" i="6"/>
  <c r="B75" i="6"/>
  <c r="F74" i="6"/>
  <c r="D74" i="6"/>
  <c r="C74" i="6"/>
  <c r="B74" i="6"/>
  <c r="F73" i="6"/>
  <c r="D73" i="6"/>
  <c r="C73" i="6"/>
  <c r="B73" i="6"/>
  <c r="C71" i="6"/>
  <c r="F67" i="6"/>
  <c r="D67" i="6"/>
  <c r="F66" i="6"/>
  <c r="D66" i="6"/>
  <c r="C66" i="6"/>
  <c r="B66" i="6"/>
  <c r="F65" i="6"/>
  <c r="D65" i="6"/>
  <c r="C65" i="6"/>
  <c r="B65" i="6"/>
  <c r="F64" i="6"/>
  <c r="D64" i="6"/>
  <c r="C64" i="6"/>
  <c r="B64" i="6"/>
  <c r="F63" i="6"/>
  <c r="D63" i="6"/>
  <c r="C63" i="6"/>
  <c r="B63" i="6"/>
  <c r="F62" i="6"/>
  <c r="D54" i="2"/>
  <c r="D62" i="6"/>
  <c r="C62" i="6"/>
  <c r="B62" i="6"/>
  <c r="F61" i="6"/>
  <c r="D61" i="6"/>
  <c r="C61" i="6"/>
  <c r="B61" i="6"/>
  <c r="F60" i="6"/>
  <c r="D60" i="6"/>
  <c r="C60" i="6"/>
  <c r="B60" i="6"/>
  <c r="F59" i="6"/>
  <c r="D59" i="6"/>
  <c r="C59" i="6"/>
  <c r="B59" i="6"/>
  <c r="F58" i="6"/>
  <c r="D50" i="2"/>
  <c r="D58" i="6"/>
  <c r="C58" i="6"/>
  <c r="B58" i="6"/>
  <c r="F57" i="6"/>
  <c r="D57" i="6"/>
  <c r="C57" i="6"/>
  <c r="B57" i="6"/>
  <c r="F56" i="6"/>
  <c r="D56" i="6"/>
  <c r="C56" i="6"/>
  <c r="B56" i="6"/>
  <c r="F55" i="6"/>
  <c r="D55" i="6"/>
  <c r="C55" i="6"/>
  <c r="B55" i="6"/>
  <c r="F54" i="6"/>
  <c r="D54" i="6"/>
  <c r="C54" i="6"/>
  <c r="B54" i="6"/>
  <c r="F53" i="6"/>
  <c r="D53" i="6"/>
  <c r="C53" i="6"/>
  <c r="B53" i="6"/>
  <c r="C51" i="6"/>
  <c r="F48" i="6"/>
  <c r="D48" i="6"/>
  <c r="F47" i="6"/>
  <c r="D47" i="6"/>
  <c r="C47" i="6"/>
  <c r="B47" i="6"/>
  <c r="F46" i="6"/>
  <c r="D46" i="6"/>
  <c r="C46" i="6"/>
  <c r="B46" i="6"/>
  <c r="F45" i="6"/>
  <c r="D45" i="6"/>
  <c r="C45" i="6"/>
  <c r="B45" i="6"/>
  <c r="F44" i="6"/>
  <c r="D44" i="6"/>
  <c r="C44" i="6"/>
  <c r="B44" i="6"/>
  <c r="F43" i="6"/>
  <c r="D43" i="6"/>
  <c r="C43" i="6"/>
  <c r="B43" i="6"/>
  <c r="F42" i="6"/>
  <c r="D42" i="6"/>
  <c r="C42" i="6"/>
  <c r="B42" i="6"/>
  <c r="F41" i="6"/>
  <c r="D41" i="6"/>
  <c r="C41" i="6"/>
  <c r="B41" i="6"/>
  <c r="F40" i="6"/>
  <c r="D40" i="6"/>
  <c r="C40" i="6"/>
  <c r="B40" i="6"/>
  <c r="F39" i="6"/>
  <c r="D30" i="2"/>
  <c r="D39" i="6"/>
  <c r="C39" i="6"/>
  <c r="B39" i="6"/>
  <c r="F38" i="6"/>
  <c r="D38" i="6"/>
  <c r="C38" i="6"/>
  <c r="B38" i="6"/>
  <c r="F37" i="6"/>
  <c r="D37" i="6"/>
  <c r="C37" i="6"/>
  <c r="B37" i="6"/>
  <c r="F36" i="6"/>
  <c r="D36" i="6"/>
  <c r="C36" i="6"/>
  <c r="B36" i="6"/>
  <c r="F35" i="6"/>
  <c r="D35" i="6"/>
  <c r="C35" i="6"/>
  <c r="B35" i="6"/>
  <c r="F34" i="6"/>
  <c r="D34" i="6"/>
  <c r="C34" i="6"/>
  <c r="B34" i="6"/>
  <c r="C32" i="6"/>
  <c r="F29" i="6"/>
  <c r="D29" i="6"/>
  <c r="F28" i="6"/>
  <c r="D28" i="6"/>
  <c r="C28" i="6"/>
  <c r="B28" i="6"/>
  <c r="F27" i="6"/>
  <c r="D27" i="6"/>
  <c r="C27" i="6"/>
  <c r="B27" i="6"/>
  <c r="F26" i="6"/>
  <c r="D26" i="6"/>
  <c r="C26" i="6"/>
  <c r="B26" i="6"/>
  <c r="F25" i="6"/>
  <c r="D25" i="6"/>
  <c r="C25" i="6"/>
  <c r="B25" i="6"/>
  <c r="F24" i="6"/>
  <c r="D24" i="6"/>
  <c r="C24" i="6"/>
  <c r="B24" i="6"/>
  <c r="F23" i="6"/>
  <c r="D23" i="6"/>
  <c r="C23" i="6"/>
  <c r="B23" i="6"/>
  <c r="F22" i="6"/>
  <c r="D22" i="6"/>
  <c r="C22" i="6"/>
  <c r="B22" i="6"/>
  <c r="F21" i="6"/>
  <c r="D21" i="6"/>
  <c r="C21" i="6"/>
  <c r="B21" i="6"/>
  <c r="F20" i="6"/>
  <c r="D10" i="2"/>
  <c r="D20" i="6"/>
  <c r="C20" i="6"/>
  <c r="B20" i="6"/>
  <c r="F19" i="6"/>
  <c r="D19" i="6"/>
  <c r="C19" i="6"/>
  <c r="B19" i="6"/>
  <c r="F18" i="6"/>
  <c r="D18" i="6"/>
  <c r="C18" i="6"/>
  <c r="B18" i="6"/>
  <c r="F17" i="6"/>
  <c r="B17" i="6"/>
  <c r="F16" i="6"/>
  <c r="D16" i="6"/>
  <c r="C16" i="6"/>
  <c r="B16" i="6"/>
  <c r="F15" i="6"/>
  <c r="D15" i="6"/>
  <c r="C15" i="6"/>
  <c r="B15" i="6"/>
  <c r="C13" i="6"/>
  <c r="B123" i="5"/>
  <c r="B122" i="5"/>
  <c r="B121" i="5"/>
  <c r="B120" i="5"/>
  <c r="B119" i="5"/>
  <c r="C97" i="5"/>
  <c r="B97" i="5"/>
  <c r="C96" i="5"/>
  <c r="C95" i="5"/>
  <c r="C94" i="5"/>
  <c r="C92" i="5"/>
  <c r="C91" i="5"/>
  <c r="C89" i="5"/>
  <c r="C87" i="5"/>
  <c r="C86" i="5"/>
  <c r="B86" i="5"/>
  <c r="B130" i="4"/>
  <c r="D130" i="4"/>
  <c r="B131" i="4"/>
  <c r="D131" i="4"/>
  <c r="I85" i="2"/>
  <c r="I86" i="2"/>
  <c r="I88" i="2"/>
  <c r="I89" i="2"/>
  <c r="I90" i="2"/>
  <c r="I91" i="2"/>
  <c r="I92" i="2"/>
  <c r="I93" i="2"/>
  <c r="I97" i="2"/>
  <c r="U22" i="2"/>
  <c r="I65" i="2"/>
  <c r="I66" i="2"/>
  <c r="I68" i="2"/>
  <c r="I69" i="2"/>
  <c r="I70" i="2"/>
  <c r="I71" i="2"/>
  <c r="I72" i="2"/>
  <c r="I73" i="2"/>
  <c r="I77" i="2"/>
  <c r="U21" i="2"/>
  <c r="I45" i="2"/>
  <c r="I46" i="2"/>
  <c r="I48" i="2"/>
  <c r="I49" i="2"/>
  <c r="I50" i="2"/>
  <c r="I51" i="2"/>
  <c r="I52" i="2"/>
  <c r="I53" i="2"/>
  <c r="I57" i="2"/>
  <c r="U20" i="2"/>
  <c r="I25" i="2"/>
  <c r="I26" i="2"/>
  <c r="I28" i="2"/>
  <c r="I29" i="2"/>
  <c r="I30" i="2"/>
  <c r="I31" i="2"/>
  <c r="I32" i="2"/>
  <c r="I34" i="2"/>
  <c r="I33" i="2"/>
  <c r="U19" i="2"/>
  <c r="I5" i="2"/>
  <c r="I6" i="2"/>
  <c r="I8" i="2"/>
  <c r="I9" i="2"/>
  <c r="I10" i="2"/>
  <c r="I11" i="2"/>
  <c r="I12" i="2"/>
  <c r="I14" i="2"/>
  <c r="I13" i="2"/>
  <c r="U18" i="2"/>
  <c r="W5" i="2"/>
  <c r="W6" i="2"/>
  <c r="W7" i="2"/>
  <c r="W8" i="2"/>
  <c r="W9" i="2"/>
  <c r="W10" i="2"/>
  <c r="U23" i="2"/>
  <c r="AF8" i="2"/>
  <c r="AF5" i="2"/>
  <c r="AF6" i="2"/>
  <c r="AF7" i="2"/>
  <c r="AF9" i="2"/>
  <c r="U24" i="2"/>
  <c r="W37" i="2"/>
  <c r="W38" i="2"/>
  <c r="U25" i="2"/>
  <c r="U27" i="2"/>
  <c r="B132" i="4"/>
  <c r="W27" i="2"/>
  <c r="D132" i="4"/>
  <c r="U28" i="2"/>
  <c r="B133" i="4"/>
  <c r="W28" i="2"/>
  <c r="D133" i="4"/>
  <c r="F94" i="2"/>
  <c r="G94" i="2"/>
  <c r="H94" i="2"/>
  <c r="J94" i="2"/>
  <c r="F93" i="2"/>
  <c r="G93" i="2"/>
  <c r="H93" i="2"/>
  <c r="J93" i="2"/>
  <c r="F91" i="2"/>
  <c r="G91" i="2"/>
  <c r="H91" i="2"/>
  <c r="J91" i="2"/>
  <c r="F90" i="2"/>
  <c r="G90" i="2"/>
  <c r="H90" i="2"/>
  <c r="J90" i="2"/>
  <c r="F89" i="2"/>
  <c r="G89" i="2"/>
  <c r="H89" i="2"/>
  <c r="J89" i="2"/>
  <c r="F74" i="2"/>
  <c r="G74" i="2"/>
  <c r="H74" i="2"/>
  <c r="J74" i="2"/>
  <c r="F73" i="2"/>
  <c r="G73" i="2"/>
  <c r="H73" i="2"/>
  <c r="J73" i="2"/>
  <c r="F71" i="2"/>
  <c r="G71" i="2"/>
  <c r="H71" i="2"/>
  <c r="J71" i="2"/>
  <c r="F70" i="2"/>
  <c r="G70" i="2"/>
  <c r="H70" i="2"/>
  <c r="J70" i="2"/>
  <c r="F69" i="2"/>
  <c r="G69" i="2"/>
  <c r="H69" i="2"/>
  <c r="J69" i="2"/>
  <c r="F54" i="2"/>
  <c r="G54" i="2"/>
  <c r="H54" i="2"/>
  <c r="J54" i="2"/>
  <c r="F53" i="2"/>
  <c r="G53" i="2"/>
  <c r="H53" i="2"/>
  <c r="J53" i="2"/>
  <c r="F51" i="2"/>
  <c r="G51" i="2"/>
  <c r="H51" i="2"/>
  <c r="J51" i="2"/>
  <c r="F50" i="2"/>
  <c r="G50" i="2"/>
  <c r="H50" i="2"/>
  <c r="J50" i="2"/>
  <c r="F49" i="2"/>
  <c r="G49" i="2"/>
  <c r="H49" i="2"/>
  <c r="J49" i="2"/>
  <c r="F34" i="2"/>
  <c r="G34" i="2"/>
  <c r="H34" i="2"/>
  <c r="J34" i="2"/>
  <c r="F33" i="2"/>
  <c r="G33" i="2"/>
  <c r="H33" i="2"/>
  <c r="J33" i="2"/>
  <c r="F31" i="2"/>
  <c r="G31" i="2"/>
  <c r="H31" i="2"/>
  <c r="J31" i="2"/>
  <c r="F30" i="2"/>
  <c r="G30" i="2"/>
  <c r="H30" i="2"/>
  <c r="J30" i="2"/>
  <c r="F29" i="2"/>
  <c r="G29" i="2"/>
  <c r="H29" i="2"/>
  <c r="J29" i="2"/>
  <c r="F14" i="2"/>
  <c r="G14" i="2"/>
  <c r="H14" i="2"/>
  <c r="J14" i="2"/>
  <c r="F13" i="2"/>
  <c r="G13" i="2"/>
  <c r="H13" i="2"/>
  <c r="J13" i="2"/>
  <c r="F11" i="2"/>
  <c r="G11" i="2"/>
  <c r="H11" i="2"/>
  <c r="J11" i="2"/>
  <c r="F10" i="2"/>
  <c r="G10" i="2"/>
  <c r="H10" i="2"/>
  <c r="J10" i="2"/>
  <c r="F9" i="2"/>
  <c r="G9" i="2"/>
  <c r="H9" i="2"/>
  <c r="J9" i="2"/>
  <c r="D107" i="4"/>
  <c r="D84" i="4"/>
  <c r="D62" i="4"/>
  <c r="D39" i="4"/>
  <c r="B95" i="4"/>
  <c r="E120" i="4"/>
  <c r="F120" i="4"/>
  <c r="E148" i="4"/>
  <c r="D148" i="4"/>
  <c r="F39" i="4"/>
  <c r="G107" i="4"/>
  <c r="G84" i="4"/>
  <c r="G62" i="4"/>
  <c r="G39" i="4"/>
  <c r="F17" i="4"/>
  <c r="F93" i="4"/>
  <c r="F94" i="4"/>
  <c r="F96" i="4"/>
  <c r="F97" i="4"/>
  <c r="F98" i="4"/>
  <c r="F99" i="4"/>
  <c r="F100" i="4"/>
  <c r="F101" i="4"/>
  <c r="I94" i="2"/>
  <c r="F102" i="4"/>
  <c r="I95" i="2"/>
  <c r="F103" i="4"/>
  <c r="I96" i="2"/>
  <c r="F104" i="4"/>
  <c r="F105" i="4"/>
  <c r="F106" i="4"/>
  <c r="F107" i="4"/>
  <c r="F70" i="4"/>
  <c r="F71" i="4"/>
  <c r="F73" i="4"/>
  <c r="F74" i="4"/>
  <c r="F75" i="4"/>
  <c r="F76" i="4"/>
  <c r="F77" i="4"/>
  <c r="F78" i="4"/>
  <c r="I74" i="2"/>
  <c r="F79" i="4"/>
  <c r="I75" i="2"/>
  <c r="F80" i="4"/>
  <c r="I76" i="2"/>
  <c r="F81" i="4"/>
  <c r="F82" i="4"/>
  <c r="F83" i="4"/>
  <c r="F84" i="4"/>
  <c r="F48" i="4"/>
  <c r="F49" i="4"/>
  <c r="F51" i="4"/>
  <c r="F52" i="4"/>
  <c r="F53" i="4"/>
  <c r="F54" i="4"/>
  <c r="F55" i="4"/>
  <c r="F56" i="4"/>
  <c r="I54" i="2"/>
  <c r="F57" i="4"/>
  <c r="I55" i="2"/>
  <c r="F58" i="4"/>
  <c r="I56" i="2"/>
  <c r="F59" i="4"/>
  <c r="F60" i="4"/>
  <c r="F61" i="4"/>
  <c r="F62" i="4"/>
  <c r="F25" i="4"/>
  <c r="F26" i="4"/>
  <c r="F28" i="4"/>
  <c r="F29" i="4"/>
  <c r="F30" i="4"/>
  <c r="F31" i="4"/>
  <c r="F32" i="4"/>
  <c r="F33" i="4"/>
  <c r="F34" i="4"/>
  <c r="I35" i="2"/>
  <c r="F35" i="4"/>
  <c r="I36" i="2"/>
  <c r="F36" i="4"/>
  <c r="I37" i="2"/>
  <c r="F37" i="4"/>
  <c r="F38" i="4"/>
  <c r="G17" i="4"/>
  <c r="F3" i="4"/>
  <c r="F4" i="4"/>
  <c r="F6" i="4"/>
  <c r="F7" i="4"/>
  <c r="F8" i="4"/>
  <c r="F9" i="4"/>
  <c r="F10" i="4"/>
  <c r="F11" i="4"/>
  <c r="F12" i="4"/>
  <c r="I15" i="2"/>
  <c r="F13" i="4"/>
  <c r="I16" i="2"/>
  <c r="F14" i="4"/>
  <c r="I17" i="2"/>
  <c r="F15" i="4"/>
  <c r="F16" i="4"/>
  <c r="C146" i="4"/>
  <c r="D146" i="4"/>
  <c r="E146" i="4"/>
  <c r="AI8" i="2"/>
  <c r="B146" i="4"/>
  <c r="F114" i="2"/>
  <c r="C118" i="4"/>
  <c r="C117" i="4"/>
  <c r="C113" i="4"/>
  <c r="D136" i="2"/>
  <c r="D135" i="2"/>
  <c r="D134" i="2"/>
  <c r="D123" i="4"/>
  <c r="C91" i="4"/>
  <c r="C68" i="4"/>
  <c r="C46" i="4"/>
  <c r="C23" i="4"/>
  <c r="G106" i="4"/>
  <c r="D106" i="4"/>
  <c r="C106" i="4"/>
  <c r="B106" i="4"/>
  <c r="G105" i="4"/>
  <c r="D105" i="4"/>
  <c r="C105" i="4"/>
  <c r="B105" i="4"/>
  <c r="G104" i="4"/>
  <c r="D104" i="4"/>
  <c r="C104" i="4"/>
  <c r="B104" i="4"/>
  <c r="G103" i="4"/>
  <c r="D103" i="4"/>
  <c r="C103" i="4"/>
  <c r="B103" i="4"/>
  <c r="G102" i="4"/>
  <c r="D102" i="4"/>
  <c r="C102" i="4"/>
  <c r="B102" i="4"/>
  <c r="G101" i="4"/>
  <c r="D101" i="4"/>
  <c r="C101" i="4"/>
  <c r="B101" i="4"/>
  <c r="G100" i="4"/>
  <c r="D100" i="4"/>
  <c r="C100" i="4"/>
  <c r="B100" i="4"/>
  <c r="G99" i="4"/>
  <c r="D99" i="4"/>
  <c r="C99" i="4"/>
  <c r="B99" i="4"/>
  <c r="G98" i="4"/>
  <c r="D98" i="4"/>
  <c r="C98" i="4"/>
  <c r="B98" i="4"/>
  <c r="G97" i="4"/>
  <c r="D97" i="4"/>
  <c r="C97" i="4"/>
  <c r="B97" i="4"/>
  <c r="G96" i="4"/>
  <c r="D96" i="4"/>
  <c r="C96" i="4"/>
  <c r="B96" i="4"/>
  <c r="G83" i="4"/>
  <c r="D83" i="4"/>
  <c r="C83" i="4"/>
  <c r="B83" i="4"/>
  <c r="G82" i="4"/>
  <c r="D82" i="4"/>
  <c r="C82" i="4"/>
  <c r="B82" i="4"/>
  <c r="G81" i="4"/>
  <c r="D81" i="4"/>
  <c r="C81" i="4"/>
  <c r="B81" i="4"/>
  <c r="G80" i="4"/>
  <c r="D80" i="4"/>
  <c r="C80" i="4"/>
  <c r="B80" i="4"/>
  <c r="G79" i="4"/>
  <c r="D79" i="4"/>
  <c r="C79" i="4"/>
  <c r="B79" i="4"/>
  <c r="G78" i="4"/>
  <c r="D78" i="4"/>
  <c r="C78" i="4"/>
  <c r="B78" i="4"/>
  <c r="G77" i="4"/>
  <c r="D77" i="4"/>
  <c r="C77" i="4"/>
  <c r="B77" i="4"/>
  <c r="G76" i="4"/>
  <c r="D76" i="4"/>
  <c r="C76" i="4"/>
  <c r="B76" i="4"/>
  <c r="G75" i="4"/>
  <c r="D75" i="4"/>
  <c r="C75" i="4"/>
  <c r="B75" i="4"/>
  <c r="G74" i="4"/>
  <c r="D74" i="4"/>
  <c r="C74" i="4"/>
  <c r="B74" i="4"/>
  <c r="G73" i="4"/>
  <c r="D73" i="4"/>
  <c r="C73" i="4"/>
  <c r="B73" i="4"/>
  <c r="G61" i="4"/>
  <c r="D61" i="4"/>
  <c r="C61" i="4"/>
  <c r="B61" i="4"/>
  <c r="G60" i="4"/>
  <c r="D60" i="4"/>
  <c r="C60" i="4"/>
  <c r="B60" i="4"/>
  <c r="G59" i="4"/>
  <c r="D59" i="4"/>
  <c r="C59" i="4"/>
  <c r="B59" i="4"/>
  <c r="G58" i="4"/>
  <c r="D58" i="4"/>
  <c r="C58" i="4"/>
  <c r="B58" i="4"/>
  <c r="G57" i="4"/>
  <c r="D57" i="4"/>
  <c r="C57" i="4"/>
  <c r="B57" i="4"/>
  <c r="G56" i="4"/>
  <c r="D56" i="4"/>
  <c r="C56" i="4"/>
  <c r="B56" i="4"/>
  <c r="G55" i="4"/>
  <c r="D55" i="4"/>
  <c r="C55" i="4"/>
  <c r="B55" i="4"/>
  <c r="G54" i="4"/>
  <c r="D54" i="4"/>
  <c r="C54" i="4"/>
  <c r="B54" i="4"/>
  <c r="G53" i="4"/>
  <c r="D53" i="4"/>
  <c r="C53" i="4"/>
  <c r="B53" i="4"/>
  <c r="G52" i="4"/>
  <c r="D52" i="4"/>
  <c r="C52" i="4"/>
  <c r="B52" i="4"/>
  <c r="G51" i="4"/>
  <c r="D51" i="4"/>
  <c r="C51" i="4"/>
  <c r="B51" i="4"/>
  <c r="G38" i="4"/>
  <c r="D38" i="4"/>
  <c r="C38" i="4"/>
  <c r="B38" i="4"/>
  <c r="G37" i="4"/>
  <c r="D37" i="4"/>
  <c r="C37" i="4"/>
  <c r="B37" i="4"/>
  <c r="G36" i="4"/>
  <c r="D36" i="4"/>
  <c r="C36" i="4"/>
  <c r="B36" i="4"/>
  <c r="G35" i="4"/>
  <c r="D35" i="4"/>
  <c r="C35" i="4"/>
  <c r="B35" i="4"/>
  <c r="G34" i="4"/>
  <c r="D34" i="4"/>
  <c r="C34" i="4"/>
  <c r="B34" i="4"/>
  <c r="G33" i="4"/>
  <c r="D33" i="4"/>
  <c r="C33" i="4"/>
  <c r="B33" i="4"/>
  <c r="G32" i="4"/>
  <c r="D32" i="4"/>
  <c r="C32" i="4"/>
  <c r="B32" i="4"/>
  <c r="G31" i="4"/>
  <c r="D31" i="4"/>
  <c r="C31" i="4"/>
  <c r="B31" i="4"/>
  <c r="G30" i="4"/>
  <c r="D30" i="4"/>
  <c r="C30" i="4"/>
  <c r="B30" i="4"/>
  <c r="G29" i="4"/>
  <c r="D29" i="4"/>
  <c r="C29" i="4"/>
  <c r="B29" i="4"/>
  <c r="G28" i="4"/>
  <c r="D28" i="4"/>
  <c r="C28" i="4"/>
  <c r="B28" i="4"/>
  <c r="B13" i="4"/>
  <c r="C13" i="4"/>
  <c r="D13" i="4"/>
  <c r="G13" i="4"/>
  <c r="B14" i="4"/>
  <c r="C14" i="4"/>
  <c r="D14" i="4"/>
  <c r="G14" i="4"/>
  <c r="B15" i="4"/>
  <c r="C15" i="4"/>
  <c r="D15" i="4"/>
  <c r="G15" i="4"/>
  <c r="L98" i="2"/>
  <c r="L97" i="2"/>
  <c r="L96" i="2"/>
  <c r="L95" i="2"/>
  <c r="L94" i="2"/>
  <c r="L93" i="2"/>
  <c r="L92" i="2"/>
  <c r="L91" i="2"/>
  <c r="L90" i="2"/>
  <c r="L89" i="2"/>
  <c r="L88" i="2"/>
  <c r="L78" i="2"/>
  <c r="L77" i="2"/>
  <c r="L76" i="2"/>
  <c r="L75" i="2"/>
  <c r="L74" i="2"/>
  <c r="L73" i="2"/>
  <c r="L72" i="2"/>
  <c r="L71" i="2"/>
  <c r="L70" i="2"/>
  <c r="L69" i="2"/>
  <c r="L68" i="2"/>
  <c r="L58" i="2"/>
  <c r="L57" i="2"/>
  <c r="L56" i="2"/>
  <c r="L55" i="2"/>
  <c r="L54" i="2"/>
  <c r="L53" i="2"/>
  <c r="L52" i="2"/>
  <c r="L51" i="2"/>
  <c r="L50" i="2"/>
  <c r="L49" i="2"/>
  <c r="L48" i="2"/>
  <c r="L37" i="2"/>
  <c r="L36" i="2"/>
  <c r="L35" i="2"/>
  <c r="L15" i="2"/>
  <c r="L16" i="2"/>
  <c r="L17" i="2"/>
  <c r="C1" i="4"/>
  <c r="E155" i="2"/>
  <c r="E156" i="2"/>
  <c r="E157" i="2"/>
  <c r="E158" i="2"/>
  <c r="E154" i="2"/>
  <c r="B128" i="4"/>
  <c r="B144" i="4"/>
  <c r="B145" i="4"/>
  <c r="B147" i="4"/>
  <c r="B143" i="4"/>
  <c r="C144" i="4"/>
  <c r="D144" i="4"/>
  <c r="E144" i="4"/>
  <c r="AI6" i="2"/>
  <c r="C145" i="4"/>
  <c r="D145" i="4"/>
  <c r="E145" i="4"/>
  <c r="AI7" i="2"/>
  <c r="C147" i="4"/>
  <c r="D147" i="4"/>
  <c r="E147" i="4"/>
  <c r="AI9" i="2"/>
  <c r="AI5" i="2"/>
  <c r="E143" i="4"/>
  <c r="D143" i="4"/>
  <c r="C143" i="4"/>
  <c r="T37" i="2"/>
  <c r="U37" i="2"/>
  <c r="G139" i="4"/>
  <c r="G138" i="4"/>
  <c r="F139" i="4"/>
  <c r="F138" i="4"/>
  <c r="D139" i="4"/>
  <c r="D138" i="4"/>
  <c r="Z38" i="2"/>
  <c r="Z37" i="2"/>
  <c r="D151" i="2"/>
  <c r="D150" i="2"/>
  <c r="D124" i="4"/>
  <c r="B124" i="4"/>
  <c r="B125" i="4"/>
  <c r="B126" i="4"/>
  <c r="B127" i="4"/>
  <c r="B123" i="4"/>
  <c r="F112" i="4"/>
  <c r="F113" i="4"/>
  <c r="F114" i="4"/>
  <c r="F115" i="4"/>
  <c r="F116" i="4"/>
  <c r="F117" i="4"/>
  <c r="F118" i="4"/>
  <c r="F119" i="4"/>
  <c r="F111" i="4"/>
  <c r="E112" i="4"/>
  <c r="E113" i="4"/>
  <c r="E114" i="4"/>
  <c r="E115" i="4"/>
  <c r="E116" i="4"/>
  <c r="E117" i="4"/>
  <c r="E118" i="4"/>
  <c r="E119" i="4"/>
  <c r="E111" i="4"/>
  <c r="C112" i="4"/>
  <c r="C114" i="4"/>
  <c r="C115" i="4"/>
  <c r="C116" i="4"/>
  <c r="C119" i="4"/>
  <c r="C111" i="4"/>
  <c r="B112" i="4"/>
  <c r="B113" i="4"/>
  <c r="B114" i="4"/>
  <c r="B117" i="4"/>
  <c r="B118" i="4"/>
  <c r="B119" i="4"/>
  <c r="B111" i="4"/>
  <c r="G94" i="4"/>
  <c r="G95" i="4"/>
  <c r="G93" i="4"/>
  <c r="F95" i="4"/>
  <c r="D94" i="4"/>
  <c r="D95" i="4"/>
  <c r="C95" i="4"/>
  <c r="C94" i="4"/>
  <c r="B94" i="4"/>
  <c r="C93" i="4"/>
  <c r="D93" i="4"/>
  <c r="B93" i="4"/>
  <c r="G71" i="4"/>
  <c r="G72" i="4"/>
  <c r="G70" i="4"/>
  <c r="F72" i="4"/>
  <c r="D71" i="4"/>
  <c r="D72" i="4"/>
  <c r="C71" i="4"/>
  <c r="C72" i="4"/>
  <c r="B71" i="4"/>
  <c r="B72" i="4"/>
  <c r="C70" i="4"/>
  <c r="D70" i="4"/>
  <c r="B70" i="4"/>
  <c r="G49" i="4"/>
  <c r="G50" i="4"/>
  <c r="G48" i="4"/>
  <c r="F50" i="4"/>
  <c r="D49" i="4"/>
  <c r="D50" i="4"/>
  <c r="C49" i="4"/>
  <c r="C50" i="4"/>
  <c r="B50" i="4"/>
  <c r="B49" i="4"/>
  <c r="C48" i="4"/>
  <c r="D48" i="4"/>
  <c r="B48" i="4"/>
  <c r="G26" i="4"/>
  <c r="G27" i="4"/>
  <c r="G25" i="4"/>
  <c r="F27" i="4"/>
  <c r="D26" i="4"/>
  <c r="D27" i="4"/>
  <c r="C26" i="4"/>
  <c r="C27" i="4"/>
  <c r="B27" i="4"/>
  <c r="B26" i="4"/>
  <c r="C25" i="4"/>
  <c r="D25" i="4"/>
  <c r="B25" i="4"/>
  <c r="G5" i="4"/>
  <c r="G6" i="4"/>
  <c r="G7" i="4"/>
  <c r="G8" i="4"/>
  <c r="G9" i="4"/>
  <c r="G10" i="4"/>
  <c r="G11" i="4"/>
  <c r="G12" i="4"/>
  <c r="G16" i="4"/>
  <c r="G4" i="4"/>
  <c r="G3" i="4"/>
  <c r="F5" i="4"/>
  <c r="D7" i="4"/>
  <c r="D8" i="4"/>
  <c r="D9" i="4"/>
  <c r="D10" i="4"/>
  <c r="D11" i="4"/>
  <c r="D12" i="4"/>
  <c r="D16" i="4"/>
  <c r="D17" i="4"/>
  <c r="D6" i="4"/>
  <c r="D4" i="4"/>
  <c r="B16" i="4"/>
  <c r="C7" i="4"/>
  <c r="C8" i="4"/>
  <c r="C9" i="4"/>
  <c r="C10" i="4"/>
  <c r="C11" i="4"/>
  <c r="C12" i="4"/>
  <c r="C16" i="4"/>
  <c r="C6" i="4"/>
  <c r="B7" i="4"/>
  <c r="B8" i="4"/>
  <c r="B9" i="4"/>
  <c r="B10" i="4"/>
  <c r="B11" i="4"/>
  <c r="B12" i="4"/>
  <c r="B5" i="4"/>
  <c r="B6" i="4"/>
  <c r="C4" i="4"/>
  <c r="B4" i="4"/>
  <c r="D3" i="4"/>
  <c r="C3" i="4"/>
  <c r="B3" i="4"/>
  <c r="V47" i="2"/>
  <c r="V39" i="2"/>
  <c r="V40" i="2"/>
  <c r="V41" i="2"/>
  <c r="V42" i="2"/>
  <c r="V43" i="2"/>
  <c r="V44" i="2"/>
  <c r="V45" i="2"/>
  <c r="V46" i="2"/>
  <c r="F32" i="3"/>
  <c r="F31" i="3"/>
  <c r="F30" i="3"/>
  <c r="F29" i="3"/>
  <c r="F28" i="3"/>
  <c r="F27" i="3"/>
  <c r="F26" i="3"/>
  <c r="F25" i="3"/>
  <c r="F24" i="3"/>
  <c r="F23" i="3"/>
  <c r="F22" i="3"/>
  <c r="F21" i="3"/>
  <c r="F20" i="3"/>
  <c r="S69" i="2"/>
  <c r="T69" i="2"/>
  <c r="U79" i="2"/>
  <c r="T79" i="2"/>
  <c r="S79" i="2"/>
  <c r="U78" i="2"/>
  <c r="T78" i="2"/>
  <c r="S78" i="2"/>
  <c r="U77" i="2"/>
  <c r="T77" i="2"/>
  <c r="S77" i="2"/>
  <c r="U76" i="2"/>
  <c r="T76" i="2"/>
  <c r="S76" i="2"/>
  <c r="U75" i="2"/>
  <c r="T75" i="2"/>
  <c r="S75" i="2"/>
  <c r="U74" i="2"/>
  <c r="T74" i="2"/>
  <c r="S74" i="2"/>
  <c r="U73" i="2"/>
  <c r="T73" i="2"/>
  <c r="S73" i="2"/>
  <c r="S72" i="2"/>
  <c r="T72" i="2"/>
  <c r="U72" i="2"/>
  <c r="S71" i="2"/>
  <c r="T71" i="2"/>
  <c r="U71" i="2"/>
  <c r="S70" i="2"/>
  <c r="T70" i="2"/>
  <c r="U70" i="2"/>
  <c r="U69" i="2"/>
  <c r="S53" i="2"/>
  <c r="T53" i="2"/>
  <c r="S54" i="2"/>
  <c r="T54" i="2"/>
  <c r="S55" i="2"/>
  <c r="T55" i="2"/>
  <c r="T56" i="2"/>
  <c r="T57" i="2"/>
  <c r="T58" i="2"/>
  <c r="T59" i="2"/>
  <c r="T60" i="2"/>
  <c r="T61" i="2"/>
  <c r="T62" i="2"/>
  <c r="S52" i="2"/>
  <c r="T52" i="2"/>
  <c r="U52" i="2"/>
  <c r="W18" i="2"/>
  <c r="W24" i="2"/>
  <c r="F15" i="3"/>
  <c r="F14" i="3"/>
  <c r="F13" i="3"/>
  <c r="F12" i="3"/>
  <c r="S62" i="2"/>
  <c r="U62" i="2"/>
  <c r="S61" i="2"/>
  <c r="U61" i="2"/>
  <c r="Z5" i="2"/>
  <c r="L33" i="2"/>
  <c r="L13" i="2"/>
  <c r="D137" i="2"/>
  <c r="F11" i="3"/>
  <c r="F10" i="3"/>
  <c r="F9" i="3"/>
  <c r="F8" i="3"/>
  <c r="F7" i="3"/>
  <c r="F6" i="3"/>
  <c r="F5" i="3"/>
  <c r="F4" i="3"/>
  <c r="F3" i="3"/>
  <c r="U53" i="2"/>
  <c r="U54" i="2"/>
  <c r="U55" i="2"/>
  <c r="S56" i="2"/>
  <c r="U56" i="2"/>
  <c r="S57" i="2"/>
  <c r="U57" i="2"/>
  <c r="S58" i="2"/>
  <c r="U58" i="2"/>
  <c r="U59" i="2"/>
  <c r="U60" i="2"/>
  <c r="S59" i="2"/>
  <c r="S60" i="2"/>
  <c r="D144" i="2"/>
  <c r="D143" i="2"/>
  <c r="D142" i="2"/>
  <c r="D141" i="2"/>
  <c r="D140" i="2"/>
  <c r="D139" i="2"/>
  <c r="D133" i="2"/>
  <c r="D132" i="2"/>
  <c r="D130" i="2"/>
  <c r="D129" i="2"/>
  <c r="D128" i="2"/>
  <c r="D127" i="2"/>
  <c r="D126" i="2"/>
  <c r="D125" i="2"/>
  <c r="Z6" i="2"/>
  <c r="Z7" i="2"/>
  <c r="Z8" i="2"/>
  <c r="Z9" i="2"/>
  <c r="Z10" i="2"/>
  <c r="Z11" i="2"/>
  <c r="Z12" i="2"/>
  <c r="Z13" i="2"/>
  <c r="G114" i="2"/>
  <c r="L32" i="2"/>
  <c r="L12" i="2"/>
  <c r="L30" i="2"/>
  <c r="L85" i="2"/>
  <c r="L86" i="2"/>
  <c r="W22" i="2"/>
  <c r="W21" i="2"/>
  <c r="W20" i="2"/>
  <c r="L66" i="2"/>
  <c r="L65" i="2"/>
  <c r="L46" i="2"/>
  <c r="L45" i="2"/>
  <c r="L29" i="2"/>
  <c r="L31" i="2"/>
  <c r="L34" i="2"/>
  <c r="L28" i="2"/>
  <c r="L26" i="2"/>
  <c r="L25" i="2"/>
  <c r="L9" i="2"/>
  <c r="L10" i="2"/>
  <c r="L11" i="2"/>
  <c r="L14" i="2"/>
  <c r="L18" i="2"/>
  <c r="L8" i="2"/>
  <c r="L5" i="2"/>
  <c r="W23" i="2"/>
  <c r="L6" i="2"/>
  <c r="W19" i="2"/>
  <c r="L38" i="2"/>
</calcChain>
</file>

<file path=xl/sharedStrings.xml><?xml version="1.0" encoding="utf-8"?>
<sst xmlns="http://schemas.openxmlformats.org/spreadsheetml/2006/main" count="1486" uniqueCount="251">
  <si>
    <t>Width(ft)</t>
  </si>
  <si>
    <t>Height(ft)</t>
  </si>
  <si>
    <t>Quantity</t>
  </si>
  <si>
    <t>Unit of Measurement</t>
  </si>
  <si>
    <t>Unit Material Cost</t>
  </si>
  <si>
    <t>Unit Price Cost</t>
  </si>
  <si>
    <t>Total Price Cost</t>
  </si>
  <si>
    <t>Unit Price Sell</t>
  </si>
  <si>
    <t>Gross Margin</t>
  </si>
  <si>
    <t>Curtain A</t>
  </si>
  <si>
    <t>Valance A</t>
  </si>
  <si>
    <t>Curtain B</t>
  </si>
  <si>
    <t>Valance B</t>
  </si>
  <si>
    <t>Curtain C</t>
  </si>
  <si>
    <t>Curtain D</t>
  </si>
  <si>
    <t>Valance D</t>
  </si>
  <si>
    <t>Velcro Side Sealing</t>
  </si>
  <si>
    <t>Chain</t>
  </si>
  <si>
    <t>Angle Length</t>
  </si>
  <si>
    <t>sq ft</t>
  </si>
  <si>
    <t>lin ft</t>
  </si>
  <si>
    <t>lot</t>
  </si>
  <si>
    <t>~</t>
  </si>
  <si>
    <t>Number of installer</t>
  </si>
  <si>
    <t>Number of Hours/Mileage</t>
  </si>
  <si>
    <t>Lodging and Food</t>
  </si>
  <si>
    <t>Freight</t>
  </si>
  <si>
    <t>Lift Device</t>
  </si>
  <si>
    <t>hours</t>
  </si>
  <si>
    <t>km</t>
  </si>
  <si>
    <t>nights</t>
  </si>
  <si>
    <t>Company:</t>
  </si>
  <si>
    <t>Customer Type:</t>
  </si>
  <si>
    <t>Sales Person:</t>
  </si>
  <si>
    <t>Dimension</t>
  </si>
  <si>
    <t>Optional Items:</t>
  </si>
  <si>
    <t>Cost Updated</t>
  </si>
  <si>
    <t>Customer Information</t>
  </si>
  <si>
    <t>Cut Outs</t>
  </si>
  <si>
    <t>Access Cut Outs</t>
  </si>
  <si>
    <t>Installation Details</t>
  </si>
  <si>
    <t>Unit Labour Cost</t>
  </si>
  <si>
    <t>cuts</t>
  </si>
  <si>
    <t>Fence rail-seal</t>
  </si>
  <si>
    <t>None</t>
  </si>
  <si>
    <t>Curtain A Total Cost:</t>
  </si>
  <si>
    <t>Curtain A Total Margin:</t>
  </si>
  <si>
    <t>Curtain B Total Cost:</t>
  </si>
  <si>
    <t>Curtain B Total Margin:</t>
  </si>
  <si>
    <t>Curtain C Total Cost:</t>
  </si>
  <si>
    <t>Curtain C Total Margin:</t>
  </si>
  <si>
    <t>Curtain D Total Cost:</t>
  </si>
  <si>
    <t>Curtain D Total Margin:</t>
  </si>
  <si>
    <t>Total Cost</t>
  </si>
  <si>
    <t>New/Previous Customer</t>
  </si>
  <si>
    <t>Location:</t>
  </si>
  <si>
    <t>Installation Total Cost:</t>
  </si>
  <si>
    <t>Installation Total Price:</t>
  </si>
  <si>
    <t>Total Sell Price Bottom Limit</t>
  </si>
  <si>
    <t>Total Actual Sell Price</t>
  </si>
  <si>
    <t>Date:</t>
  </si>
  <si>
    <t>Note</t>
  </si>
  <si>
    <t>Curtain E</t>
  </si>
  <si>
    <t>Curtain E Total Cost:</t>
  </si>
  <si>
    <t>Curtain E Total Margin:</t>
  </si>
  <si>
    <t>Valance E</t>
  </si>
  <si>
    <t>Product Information</t>
  </si>
  <si>
    <t>Product Type:</t>
  </si>
  <si>
    <t>Top Only</t>
  </si>
  <si>
    <t>Bottom Only</t>
  </si>
  <si>
    <t>Top &amp; Bottom</t>
  </si>
  <si>
    <t>Chain Options</t>
  </si>
  <si>
    <t>Bottom Valance</t>
  </si>
  <si>
    <t>Bottom Curtain</t>
  </si>
  <si>
    <t>Bottom Curtain and Valance</t>
  </si>
  <si>
    <t>Curtain Height Options:</t>
  </si>
  <si>
    <t>Curtain Width Options:</t>
  </si>
  <si>
    <t>Left &amp; Right</t>
  </si>
  <si>
    <t>Insulated Material</t>
  </si>
  <si>
    <t>Noise Material</t>
  </si>
  <si>
    <t>Non-insulated Material</t>
  </si>
  <si>
    <t>Customer Type</t>
  </si>
  <si>
    <t>End User</t>
  </si>
  <si>
    <t>Distributor</t>
  </si>
  <si>
    <t>Curtain Wall A</t>
  </si>
  <si>
    <t>Curtain Wall B</t>
  </si>
  <si>
    <t>Curtain Wall E</t>
  </si>
  <si>
    <t>CurtainWall  D</t>
  </si>
  <si>
    <t>Curtain Wall C</t>
  </si>
  <si>
    <t>N/A</t>
  </si>
  <si>
    <t>Obstruction Cut Outs (Valance &amp; Curtain)</t>
  </si>
  <si>
    <t>Left Only</t>
  </si>
  <si>
    <t>Right Only</t>
  </si>
  <si>
    <t>Contingency (Misc. hangers, threaded rod, etc)</t>
  </si>
  <si>
    <t>Please fill  ORANGE cells only</t>
  </si>
  <si>
    <t>New/Existing</t>
  </si>
  <si>
    <t>Previous</t>
  </si>
  <si>
    <t>New</t>
  </si>
  <si>
    <t>Additional Intsallers</t>
  </si>
  <si>
    <t>Lead Installer</t>
  </si>
  <si>
    <t>Travel Distance (Total)</t>
  </si>
  <si>
    <t>Initial Visit to quote</t>
  </si>
  <si>
    <t>Contingency for Installation</t>
  </si>
  <si>
    <t>Installation Time Reference</t>
  </si>
  <si>
    <t>DropDown Reference:</t>
  </si>
  <si>
    <t>Base Hr</t>
  </si>
  <si>
    <t>Variable</t>
  </si>
  <si>
    <t>Curtain Dimension</t>
  </si>
  <si>
    <t>Valance</t>
  </si>
  <si>
    <t>Velcro</t>
  </si>
  <si>
    <t>Fence Rail</t>
  </si>
  <si>
    <t>Angle</t>
  </si>
  <si>
    <t>10ft</t>
  </si>
  <si>
    <t>10ft * 20ft</t>
  </si>
  <si>
    <t>10ft * 30ft</t>
  </si>
  <si>
    <t>10ft * 30+ft</t>
  </si>
  <si>
    <t># of cuts</t>
  </si>
  <si>
    <t># of doors</t>
  </si>
  <si>
    <t>10ft * 5ft</t>
  </si>
  <si>
    <t>Standard Unit/Range (Width * Height)</t>
  </si>
  <si>
    <t>Sale Price Reference</t>
  </si>
  <si>
    <t>Distributer</t>
  </si>
  <si>
    <t>Lower Price Limit</t>
  </si>
  <si>
    <t>Upper Price Limit</t>
  </si>
  <si>
    <t>Commision Rate Reference</t>
  </si>
  <si>
    <t>New End User</t>
  </si>
  <si>
    <t>Previous End User</t>
  </si>
  <si>
    <t>New Distributor</t>
  </si>
  <si>
    <t>Previous Distributor</t>
  </si>
  <si>
    <t>Total Sell Price Upper Limit</t>
  </si>
  <si>
    <t>Total price Sell (Bottom)</t>
  </si>
  <si>
    <t>Curtain A Total Bottom Price:</t>
  </si>
  <si>
    <t>Curtain B Total Bottom Price:</t>
  </si>
  <si>
    <t>Curtain C Total Bottom Price:</t>
  </si>
  <si>
    <t>Curtain D Total Bottom Price:</t>
  </si>
  <si>
    <t>Curtain E Total Bottom Price:</t>
  </si>
  <si>
    <t>10ft * 10-ft</t>
  </si>
  <si>
    <t>Onsite Salesman time during Install</t>
  </si>
  <si>
    <t>Below half</t>
  </si>
  <si>
    <t>Above half</t>
  </si>
  <si>
    <t>Cost Reference</t>
  </si>
  <si>
    <t>Numer of Installer</t>
  </si>
  <si>
    <t>Travel Distance (Two ways)</t>
  </si>
  <si>
    <t>Salesman went for initial quote</t>
  </si>
  <si>
    <t>Slaesman went for Onsite Installation</t>
  </si>
  <si>
    <t>Yes</t>
  </si>
  <si>
    <t>Salesman involed</t>
  </si>
  <si>
    <t>No</t>
  </si>
  <si>
    <t>Commision Rate Chart</t>
  </si>
  <si>
    <t>The Price You offer:</t>
  </si>
  <si>
    <t>The Commision rate</t>
  </si>
  <si>
    <t xml:space="preserve"> New Total Cost</t>
  </si>
  <si>
    <t>Rep's  benefit</t>
  </si>
  <si>
    <t>Total Cost (without commision)</t>
  </si>
  <si>
    <t>Total Gross Margin without Commision</t>
  </si>
  <si>
    <t>Gross Margin with commision</t>
  </si>
  <si>
    <t>700 Series track &amp; trolley hardware</t>
  </si>
  <si>
    <t>Sliding Track Options</t>
  </si>
  <si>
    <t>Four Wheel Trolley</t>
  </si>
  <si>
    <t>90 radious corner</t>
  </si>
  <si>
    <t>Track 90 square corner</t>
  </si>
  <si>
    <t>Track Three Way 'T'</t>
  </si>
  <si>
    <t>90° radius corner</t>
  </si>
  <si>
    <t>Track 90° square corner</t>
  </si>
  <si>
    <t>Track three way 'T'</t>
  </si>
  <si>
    <t>Total Price Sell (Bottom)</t>
  </si>
  <si>
    <t>Accessories Total Cost:</t>
  </si>
  <si>
    <t>Accessories Total Price:</t>
  </si>
  <si>
    <t>Accessories Total Margin:</t>
  </si>
  <si>
    <t>Include Installation</t>
  </si>
  <si>
    <t xml:space="preserve">Total Sell Price Upper Limit </t>
  </si>
  <si>
    <t xml:space="preserve">Total Sell Price Bottom Limit </t>
  </si>
  <si>
    <t>Valance C</t>
  </si>
  <si>
    <t>Exchange Rate:</t>
  </si>
  <si>
    <t>The Price Rep Sales for:</t>
  </si>
  <si>
    <t xml:space="preserve"> Curtain Wall Quote </t>
  </si>
  <si>
    <t>COST INFO</t>
  </si>
  <si>
    <t>Installation cost included</t>
  </si>
  <si>
    <t>Installation cost not included</t>
  </si>
  <si>
    <t>With Installation Calculated</t>
  </si>
  <si>
    <t>Without Installation</t>
  </si>
  <si>
    <t>Not Include Installation</t>
  </si>
  <si>
    <t>Accessories</t>
  </si>
  <si>
    <t>Frames</t>
  </si>
  <si>
    <t>Frame Total Cost:</t>
  </si>
  <si>
    <t>Frame Total Sales Price:</t>
  </si>
  <si>
    <t>Velcro Mutiplier</t>
  </si>
  <si>
    <t>Product Name:</t>
  </si>
  <si>
    <t>Door Included</t>
  </si>
  <si>
    <t>Wide Traffic Opening with attached access opening</t>
  </si>
  <si>
    <t>12' x 8' + 3' x 7'</t>
  </si>
  <si>
    <t>3' x 7'</t>
  </si>
  <si>
    <t>Pedestrian access opening with swing door</t>
  </si>
  <si>
    <t>Maritime</t>
  </si>
  <si>
    <t>BC</t>
  </si>
  <si>
    <t>Ontario</t>
  </si>
  <si>
    <t>USA</t>
  </si>
  <si>
    <t>Quebec</t>
  </si>
  <si>
    <t>Prairies</t>
  </si>
  <si>
    <t>Unit Labor Cost</t>
  </si>
  <si>
    <t>UOM</t>
  </si>
  <si>
    <t>FR UV PVC 20 MIL Clear</t>
  </si>
  <si>
    <t>PVC 40 MIL Clear</t>
  </si>
  <si>
    <t>FR PVC 16 MIL Welding Tint Translucent</t>
  </si>
  <si>
    <t>cost/roll ldd cdn</t>
  </si>
  <si>
    <t>cost/yard ldd cdn</t>
  </si>
  <si>
    <t>cost/sq ft</t>
  </si>
  <si>
    <t>roll width (")</t>
  </si>
  <si>
    <t>roll length (yd)</t>
  </si>
  <si>
    <t>supplier</t>
  </si>
  <si>
    <t>INLAND</t>
  </si>
  <si>
    <t>BXL</t>
  </si>
  <si>
    <t>STEINER</t>
  </si>
  <si>
    <t>MATERIAL</t>
  </si>
  <si>
    <t>FR UV VCP 18 oz. Opaque (prev. default)</t>
  </si>
  <si>
    <t>3-Panel</t>
  </si>
  <si>
    <t>Bulb Pocket</t>
  </si>
  <si>
    <t>Floor Sweep</t>
  </si>
  <si>
    <t>Ratchet Straps</t>
  </si>
  <si>
    <t>ea</t>
  </si>
  <si>
    <t>Curtain Wall (material cost see right)</t>
  </si>
  <si>
    <t>Total Unit Cost</t>
  </si>
  <si>
    <t>For 99% of the time</t>
  </si>
  <si>
    <t>Ratchet Strap</t>
  </si>
  <si>
    <t>update</t>
  </si>
  <si>
    <t>Nov. 2016</t>
  </si>
  <si>
    <t>Access Cut Out</t>
  </si>
  <si>
    <t>Wind Tie Kit</t>
  </si>
  <si>
    <t>Subtotal</t>
  </si>
  <si>
    <t>Access cut out</t>
  </si>
  <si>
    <t>Installation Included</t>
  </si>
  <si>
    <t>Total Price</t>
  </si>
  <si>
    <t>Total price</t>
  </si>
  <si>
    <t>FR UV VCP 14 oz. Opaque or 14 oz. Klearspan</t>
  </si>
  <si>
    <t>Material</t>
  </si>
  <si>
    <t>Material:</t>
  </si>
  <si>
    <t>①</t>
  </si>
  <si>
    <t>②</t>
  </si>
  <si>
    <t>③</t>
  </si>
  <si>
    <t>④</t>
  </si>
  <si>
    <t>⑤</t>
  </si>
  <si>
    <t>⑥</t>
  </si>
  <si>
    <t>FR UV PVC 20 MIL Clear</t>
    <phoneticPr fontId="17" type="noConversion"/>
  </si>
  <si>
    <t>No</t>
    <phoneticPr fontId="17" type="noConversion"/>
  </si>
  <si>
    <t>No</t>
    <phoneticPr fontId="17" type="noConversion"/>
  </si>
  <si>
    <t>MATERIAL</t>
    <phoneticPr fontId="17" type="noConversion"/>
  </si>
  <si>
    <t>None</t>
    <phoneticPr fontId="17" type="noConversion"/>
  </si>
  <si>
    <t>None</t>
    <phoneticPr fontId="17" type="noConversion"/>
  </si>
  <si>
    <t>No</t>
    <phoneticPr fontId="17" type="noConversion"/>
  </si>
  <si>
    <t>MATERIAL</t>
    <phoneticPr fontId="17" type="noConversion"/>
  </si>
  <si>
    <t>FR UV VCP 14 oz. Opaque or 14 oz. Klearspan</t>
    <phoneticPr fontId="1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</si>
</sst>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quot;$&quot;#,##0.00_);\(&quot;$&quot;#,##0.00\)"/>
    <numFmt numFmtId="177" formatCode="&quot;$&quot;#,##0.00_);[Red]\(&quot;$&quot;#,##0.00\)"/>
    <numFmt numFmtId="178" formatCode="&quot;$&quot;#,##0.00"/>
  </numFmts>
  <fonts count="18">
    <font>
      <sz val="11"/>
      <color theme="1"/>
      <name val="DengXian"/>
      <family val="2"/>
      <scheme val="minor"/>
    </font>
    <font>
      <sz val="11"/>
      <color rgb="FF3F3F76"/>
      <name val="DengXian"/>
      <family val="2"/>
      <scheme val="minor"/>
    </font>
    <font>
      <b/>
      <sz val="11"/>
      <color theme="1"/>
      <name val="DengXian"/>
      <family val="2"/>
      <scheme val="minor"/>
    </font>
    <font>
      <b/>
      <sz val="12"/>
      <color theme="1"/>
      <name val="DengXian"/>
      <family val="2"/>
      <scheme val="minor"/>
    </font>
    <font>
      <b/>
      <sz val="14"/>
      <color theme="1"/>
      <name val="DengXian"/>
      <family val="2"/>
      <scheme val="minor"/>
    </font>
    <font>
      <b/>
      <sz val="16"/>
      <color theme="1"/>
      <name val="DengXian"/>
      <family val="2"/>
      <scheme val="minor"/>
    </font>
    <font>
      <b/>
      <sz val="26"/>
      <color theme="1"/>
      <name val="DengXian"/>
      <family val="2"/>
      <scheme val="minor"/>
    </font>
    <font>
      <sz val="11"/>
      <color rgb="FF006100"/>
      <name val="DengXian"/>
      <family val="2"/>
      <scheme val="minor"/>
    </font>
    <font>
      <b/>
      <sz val="11"/>
      <name val="DengXian"/>
      <family val="2"/>
      <scheme val="minor"/>
    </font>
    <font>
      <b/>
      <sz val="11"/>
      <color rgb="FF3F3F76"/>
      <name val="DengXian"/>
      <family val="2"/>
      <scheme val="minor"/>
    </font>
    <font>
      <sz val="11"/>
      <name val="DengXian"/>
      <family val="2"/>
      <scheme val="minor"/>
    </font>
    <font>
      <b/>
      <sz val="12"/>
      <name val="DengXian"/>
      <family val="2"/>
      <scheme val="minor"/>
    </font>
    <font>
      <sz val="11"/>
      <color rgb="FF000000"/>
      <name val="Calibri"/>
      <family val="2"/>
    </font>
    <font>
      <sz val="11"/>
      <color theme="1"/>
      <name val="DengXian"/>
      <family val="2"/>
      <scheme val="minor"/>
    </font>
    <font>
      <sz val="11"/>
      <color rgb="FF9C5700"/>
      <name val="DengXian"/>
      <family val="2"/>
      <scheme val="minor"/>
    </font>
    <font>
      <sz val="12"/>
      <color theme="1"/>
      <name val="DengXian"/>
      <family val="2"/>
      <scheme val="minor"/>
    </font>
    <font>
      <sz val="12"/>
      <color theme="1"/>
      <name val="Calibri"/>
      <family val="2"/>
    </font>
    <font>
      <sz val="9"/>
      <name val="DengXian"/>
      <family val="3"/>
      <charset val="134"/>
      <scheme val="minor"/>
    </font>
  </fonts>
  <fills count="7">
    <fill>
      <patternFill patternType="none"/>
    </fill>
    <fill>
      <patternFill patternType="gray125"/>
    </fill>
    <fill>
      <patternFill patternType="solid">
        <fgColor rgb="FFFFCC99"/>
      </patternFill>
    </fill>
    <fill>
      <patternFill patternType="solid">
        <fgColor theme="3" tint="0.59996337778862885"/>
        <bgColor indexed="64"/>
      </patternFill>
    </fill>
    <fill>
      <patternFill patternType="solid">
        <fgColor rgb="FFC6EFCE"/>
      </patternFill>
    </fill>
    <fill>
      <patternFill patternType="solid">
        <fgColor theme="0"/>
        <bgColor indexed="64"/>
      </patternFill>
    </fill>
    <fill>
      <patternFill patternType="solid">
        <fgColor rgb="FFFFEB9C"/>
      </patternFill>
    </fill>
  </fills>
  <borders count="71">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auto="1"/>
      </left>
      <right style="medium">
        <color auto="1"/>
      </right>
      <top style="medium">
        <color auto="1"/>
      </top>
      <bottom style="medium">
        <color auto="1"/>
      </bottom>
      <diagonal/>
    </border>
    <border>
      <left/>
      <right style="medium">
        <color auto="1"/>
      </right>
      <top/>
      <bottom/>
      <diagonal/>
    </border>
    <border>
      <left style="medium">
        <color auto="1"/>
      </left>
      <right/>
      <top style="thin">
        <color auto="1"/>
      </top>
      <bottom style="medium">
        <color auto="1"/>
      </bottom>
      <diagonal/>
    </border>
    <border>
      <left style="thin">
        <color auto="1"/>
      </left>
      <right style="thin">
        <color auto="1"/>
      </right>
      <top style="thin">
        <color auto="1"/>
      </top>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top style="medium">
        <color auto="1"/>
      </top>
      <bottom/>
      <diagonal/>
    </border>
    <border>
      <left style="medium">
        <color auto="1"/>
      </left>
      <right style="medium">
        <color auto="1"/>
      </right>
      <top/>
      <bottom/>
      <diagonal/>
    </border>
    <border>
      <left style="medium">
        <color auto="1"/>
      </left>
      <right/>
      <top/>
      <bottom style="medium">
        <color auto="1"/>
      </bottom>
      <diagonal/>
    </border>
    <border>
      <left/>
      <right style="medium">
        <color auto="1"/>
      </right>
      <top style="medium">
        <color auto="1"/>
      </top>
      <bottom style="thin">
        <color auto="1"/>
      </bottom>
      <diagonal/>
    </border>
    <border>
      <left style="thin">
        <color auto="1"/>
      </left>
      <right style="medium">
        <color auto="1"/>
      </right>
      <top style="thin">
        <color auto="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thin">
        <color rgb="FF7F7F7F"/>
      </top>
      <bottom style="thin">
        <color rgb="FF7F7F7F"/>
      </bottom>
      <diagonal/>
    </border>
    <border>
      <left/>
      <right/>
      <top style="medium">
        <color auto="1"/>
      </top>
      <bottom/>
      <diagonal/>
    </border>
    <border>
      <left style="medium">
        <color auto="1"/>
      </left>
      <right/>
      <top/>
      <bottom/>
      <diagonal/>
    </border>
    <border>
      <left/>
      <right style="medium">
        <color indexed="64"/>
      </right>
      <top style="medium">
        <color indexed="64"/>
      </top>
      <bottom/>
      <diagonal/>
    </border>
    <border>
      <left style="medium">
        <color auto="1"/>
      </left>
      <right style="thin">
        <color auto="1"/>
      </right>
      <top style="thin">
        <color auto="1"/>
      </top>
      <bottom/>
      <diagonal/>
    </border>
    <border>
      <left style="thin">
        <color auto="1"/>
      </left>
      <right style="medium">
        <color auto="1"/>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thin">
        <color auto="1"/>
      </right>
      <top style="thin">
        <color auto="1"/>
      </top>
      <bottom/>
      <diagonal/>
    </border>
    <border>
      <left/>
      <right style="thin">
        <color auto="1"/>
      </right>
      <top style="medium">
        <color indexed="64"/>
      </top>
      <bottom style="medium">
        <color indexed="64"/>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bottom/>
      <diagonal/>
    </border>
    <border>
      <left/>
      <right style="medium">
        <color auto="1"/>
      </right>
      <top/>
      <bottom style="thin">
        <color auto="1"/>
      </bottom>
      <diagonal/>
    </border>
    <border>
      <left/>
      <right style="medium">
        <color auto="1"/>
      </right>
      <top style="thin">
        <color auto="1"/>
      </top>
      <bottom/>
      <diagonal/>
    </border>
    <border>
      <left/>
      <right style="thin">
        <color rgb="FF7F7F7F"/>
      </right>
      <top style="thin">
        <color rgb="FF7F7F7F"/>
      </top>
      <bottom style="medium">
        <color auto="1"/>
      </bottom>
      <diagonal/>
    </border>
    <border>
      <left style="thin">
        <color auto="1"/>
      </left>
      <right/>
      <top style="thin">
        <color auto="1"/>
      </top>
      <bottom style="thin">
        <color auto="1"/>
      </bottom>
      <diagonal/>
    </border>
    <border>
      <left style="medium">
        <color indexed="64"/>
      </left>
      <right/>
      <top style="medium">
        <color indexed="64"/>
      </top>
      <bottom style="thin">
        <color auto="1"/>
      </bottom>
      <diagonal/>
    </border>
    <border>
      <left style="thin">
        <color auto="1"/>
      </left>
      <right/>
      <top style="thin">
        <color auto="1"/>
      </top>
      <bottom/>
      <diagonal/>
    </border>
    <border>
      <left style="medium">
        <color auto="1"/>
      </left>
      <right/>
      <top style="medium">
        <color auto="1"/>
      </top>
      <bottom style="medium">
        <color auto="1"/>
      </bottom>
      <diagonal/>
    </border>
    <border>
      <left style="thin">
        <color auto="1"/>
      </left>
      <right style="medium">
        <color indexed="64"/>
      </right>
      <top style="thin">
        <color rgb="FF7F7F7F"/>
      </top>
      <bottom/>
      <diagonal/>
    </border>
    <border>
      <left/>
      <right/>
      <top style="medium">
        <color indexed="64"/>
      </top>
      <bottom style="medium">
        <color indexed="64"/>
      </bottom>
      <diagonal/>
    </border>
    <border>
      <left style="thin">
        <color auto="1"/>
      </left>
      <right/>
      <top style="medium">
        <color auto="1"/>
      </top>
      <bottom style="thin">
        <color auto="1"/>
      </bottom>
      <diagonal/>
    </border>
    <border>
      <left style="thin">
        <color auto="1"/>
      </left>
      <right style="medium">
        <color auto="1"/>
      </right>
      <top/>
      <bottom/>
      <diagonal/>
    </border>
    <border>
      <left style="thin">
        <color auto="1"/>
      </left>
      <right style="thin">
        <color auto="1"/>
      </right>
      <top style="medium">
        <color indexed="64"/>
      </top>
      <bottom/>
      <diagonal/>
    </border>
    <border>
      <left/>
      <right style="thin">
        <color auto="1"/>
      </right>
      <top style="medium">
        <color indexed="64"/>
      </top>
      <bottom/>
      <diagonal/>
    </border>
    <border>
      <left style="medium">
        <color indexed="64"/>
      </left>
      <right/>
      <top style="thin">
        <color rgb="FF7F7F7F"/>
      </top>
      <bottom style="thin">
        <color rgb="FF7F7F7F"/>
      </bottom>
      <diagonal/>
    </border>
    <border>
      <left style="medium">
        <color indexed="64"/>
      </left>
      <right/>
      <top style="thin">
        <color rgb="FF7F7F7F"/>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diagonal/>
    </border>
    <border>
      <left style="medium">
        <color auto="1"/>
      </left>
      <right/>
      <top style="thin">
        <color auto="1"/>
      </top>
      <bottom/>
      <diagonal/>
    </border>
    <border>
      <left/>
      <right style="medium">
        <color indexed="64"/>
      </right>
      <top style="thin">
        <color auto="1"/>
      </top>
      <bottom style="medium">
        <color indexed="64"/>
      </bottom>
      <diagonal/>
    </border>
  </borders>
  <cellStyleXfs count="6">
    <xf numFmtId="0" fontId="0" fillId="0" borderId="0"/>
    <xf numFmtId="0" fontId="1" fillId="2" borderId="1" applyNumberFormat="0" applyAlignment="0" applyProtection="0"/>
    <xf numFmtId="0" fontId="4" fillId="3" borderId="17" applyFont="0" applyBorder="0"/>
    <xf numFmtId="0" fontId="7" fillId="4" borderId="0" applyNumberFormat="0" applyBorder="0" applyAlignment="0" applyProtection="0"/>
    <xf numFmtId="9" fontId="13" fillId="0" borderId="0" applyFont="0" applyFill="0" applyBorder="0" applyAlignment="0" applyProtection="0"/>
    <xf numFmtId="0" fontId="14" fillId="6" borderId="0" applyNumberFormat="0" applyBorder="0" applyAlignment="0" applyProtection="0"/>
  </cellStyleXfs>
  <cellXfs count="377">
    <xf numFmtId="0" fontId="0" fillId="0" borderId="0" xfId="0"/>
    <xf numFmtId="0" fontId="0" fillId="0" borderId="2" xfId="0" applyFill="1" applyBorder="1" applyAlignment="1">
      <alignment horizontal="center"/>
    </xf>
    <xf numFmtId="0" fontId="0" fillId="0" borderId="9" xfId="0" applyBorder="1" applyAlignment="1">
      <alignment horizontal="center"/>
    </xf>
    <xf numFmtId="0" fontId="6" fillId="0" borderId="0" xfId="0" applyFont="1"/>
    <xf numFmtId="0" fontId="0" fillId="0" borderId="0" xfId="0" applyAlignment="1">
      <alignment horizontal="center"/>
    </xf>
    <xf numFmtId="177" fontId="0" fillId="0" borderId="2" xfId="0" applyNumberFormat="1" applyBorder="1" applyAlignment="1">
      <alignment horizontal="center"/>
    </xf>
    <xf numFmtId="178" fontId="0" fillId="0" borderId="2" xfId="0" applyNumberFormat="1" applyBorder="1" applyAlignment="1">
      <alignment horizontal="center"/>
    </xf>
    <xf numFmtId="0" fontId="2" fillId="3" borderId="6" xfId="2" applyFont="1" applyBorder="1" applyAlignment="1">
      <alignment horizontal="center"/>
    </xf>
    <xf numFmtId="0" fontId="5" fillId="3" borderId="5" xfId="2" applyFont="1" applyBorder="1" applyAlignment="1">
      <alignment horizontal="center"/>
    </xf>
    <xf numFmtId="0" fontId="4" fillId="3" borderId="23" xfId="2" applyFont="1" applyBorder="1" applyAlignment="1">
      <alignment horizontal="center"/>
    </xf>
    <xf numFmtId="0" fontId="0" fillId="0" borderId="4" xfId="0" applyBorder="1" applyAlignment="1">
      <alignment horizontal="center"/>
    </xf>
    <xf numFmtId="10" fontId="0" fillId="0" borderId="17" xfId="0" applyNumberFormat="1" applyBorder="1" applyAlignment="1">
      <alignment horizontal="center"/>
    </xf>
    <xf numFmtId="0" fontId="0" fillId="0" borderId="7" xfId="0" applyBorder="1" applyAlignment="1">
      <alignment horizontal="center"/>
    </xf>
    <xf numFmtId="10" fontId="1" fillId="2" borderId="31" xfId="1" applyNumberFormat="1" applyBorder="1" applyAlignment="1" applyProtection="1">
      <alignment horizontal="center"/>
      <protection locked="0"/>
    </xf>
    <xf numFmtId="10" fontId="1" fillId="2" borderId="32" xfId="1" applyNumberFormat="1" applyBorder="1" applyAlignment="1" applyProtection="1">
      <alignment horizontal="center"/>
      <protection locked="0"/>
    </xf>
    <xf numFmtId="0" fontId="2" fillId="3" borderId="24" xfId="2" applyFont="1" applyBorder="1" applyAlignment="1">
      <alignment horizontal="center"/>
    </xf>
    <xf numFmtId="10" fontId="1" fillId="2" borderId="30" xfId="1" applyNumberFormat="1" applyBorder="1" applyAlignment="1" applyProtection="1">
      <alignment horizontal="center"/>
      <protection locked="0"/>
    </xf>
    <xf numFmtId="0" fontId="2" fillId="0" borderId="0" xfId="0" applyFont="1" applyBorder="1"/>
    <xf numFmtId="0" fontId="0" fillId="0" borderId="0" xfId="0" applyBorder="1"/>
    <xf numFmtId="0" fontId="5" fillId="0" borderId="0" xfId="0" applyFont="1"/>
    <xf numFmtId="0" fontId="5" fillId="0" borderId="24" xfId="0" applyFont="1" applyBorder="1" applyAlignment="1">
      <alignment horizontal="center"/>
    </xf>
    <xf numFmtId="178" fontId="0" fillId="0" borderId="20" xfId="0" applyNumberFormat="1" applyBorder="1" applyAlignment="1">
      <alignment horizontal="center"/>
    </xf>
    <xf numFmtId="10" fontId="0" fillId="0" borderId="0" xfId="0" applyNumberFormat="1"/>
    <xf numFmtId="0" fontId="0" fillId="0" borderId="2" xfId="0" applyBorder="1"/>
    <xf numFmtId="0" fontId="0" fillId="0" borderId="9" xfId="0" applyBorder="1"/>
    <xf numFmtId="0" fontId="0" fillId="0" borderId="3" xfId="0" applyBorder="1"/>
    <xf numFmtId="0" fontId="0" fillId="0" borderId="8" xfId="0" applyBorder="1" applyAlignment="1">
      <alignment horizontal="center"/>
    </xf>
    <xf numFmtId="176" fontId="0" fillId="0" borderId="2" xfId="0" applyNumberFormat="1" applyFont="1" applyBorder="1" applyAlignment="1">
      <alignment horizontal="center"/>
    </xf>
    <xf numFmtId="0" fontId="0" fillId="0" borderId="4" xfId="0" applyBorder="1"/>
    <xf numFmtId="0" fontId="0" fillId="0" borderId="10" xfId="0" applyBorder="1"/>
    <xf numFmtId="0" fontId="0" fillId="0" borderId="10" xfId="0" applyBorder="1" applyAlignment="1">
      <alignment horizontal="center"/>
    </xf>
    <xf numFmtId="0" fontId="0" fillId="0" borderId="2" xfId="0" applyFill="1" applyBorder="1"/>
    <xf numFmtId="10" fontId="0" fillId="0" borderId="2" xfId="0" applyNumberFormat="1" applyBorder="1"/>
    <xf numFmtId="0" fontId="7" fillId="4" borderId="24" xfId="3" applyBorder="1"/>
    <xf numFmtId="0" fontId="7" fillId="4" borderId="36" xfId="3" applyBorder="1"/>
    <xf numFmtId="0" fontId="7" fillId="4" borderId="2" xfId="3" applyBorder="1"/>
    <xf numFmtId="0" fontId="7" fillId="4" borderId="6" xfId="3" applyBorder="1"/>
    <xf numFmtId="0" fontId="3" fillId="4" borderId="24" xfId="3" applyFont="1" applyBorder="1" applyAlignment="1">
      <alignment horizontal="center"/>
    </xf>
    <xf numFmtId="0" fontId="3" fillId="4" borderId="34" xfId="3" applyFont="1" applyBorder="1" applyAlignment="1">
      <alignment horizontal="center"/>
    </xf>
    <xf numFmtId="0" fontId="3" fillId="4" borderId="36" xfId="3" applyFont="1" applyBorder="1" applyAlignment="1">
      <alignment horizontal="center"/>
    </xf>
    <xf numFmtId="0" fontId="3" fillId="4" borderId="25" xfId="3" applyFont="1" applyBorder="1" applyAlignment="1">
      <alignment horizontal="center"/>
    </xf>
    <xf numFmtId="0" fontId="3" fillId="4" borderId="26" xfId="3" applyFont="1" applyBorder="1" applyAlignment="1">
      <alignment horizontal="center"/>
    </xf>
    <xf numFmtId="0" fontId="3" fillId="4" borderId="0" xfId="3" applyFont="1" applyBorder="1" applyAlignment="1">
      <alignment horizontal="center"/>
    </xf>
    <xf numFmtId="0" fontId="3" fillId="4" borderId="18" xfId="3" applyFont="1" applyBorder="1" applyAlignment="1">
      <alignment horizontal="center"/>
    </xf>
    <xf numFmtId="0" fontId="3" fillId="4" borderId="35" xfId="3" applyFont="1" applyBorder="1" applyAlignment="1">
      <alignment horizontal="center"/>
    </xf>
    <xf numFmtId="0" fontId="3" fillId="4" borderId="2" xfId="3" applyFont="1" applyBorder="1" applyAlignment="1">
      <alignment horizontal="center"/>
    </xf>
    <xf numFmtId="0" fontId="3" fillId="4" borderId="6" xfId="3" applyFont="1" applyBorder="1" applyAlignment="1">
      <alignment horizontal="center"/>
    </xf>
    <xf numFmtId="0" fontId="3" fillId="4" borderId="7" xfId="3" applyFont="1" applyBorder="1" applyAlignment="1">
      <alignment horizontal="center"/>
    </xf>
    <xf numFmtId="0" fontId="7" fillId="4" borderId="4" xfId="3" applyBorder="1"/>
    <xf numFmtId="0" fontId="3" fillId="4" borderId="8" xfId="3" applyFont="1" applyBorder="1" applyAlignment="1">
      <alignment horizontal="center"/>
    </xf>
    <xf numFmtId="0" fontId="4" fillId="0" borderId="7" xfId="0" applyFont="1" applyBorder="1"/>
    <xf numFmtId="10" fontId="0" fillId="0" borderId="4" xfId="0" applyNumberFormat="1" applyBorder="1"/>
    <xf numFmtId="10" fontId="0" fillId="0" borderId="9" xfId="0" applyNumberFormat="1" applyBorder="1"/>
    <xf numFmtId="10" fontId="0" fillId="0" borderId="10" xfId="0" applyNumberFormat="1" applyBorder="1"/>
    <xf numFmtId="0" fontId="0" fillId="0" borderId="4" xfId="0" applyFont="1" applyBorder="1" applyAlignment="1">
      <alignment horizontal="center"/>
    </xf>
    <xf numFmtId="0" fontId="3" fillId="4" borderId="5" xfId="3" applyFont="1" applyBorder="1" applyAlignment="1">
      <alignment horizontal="center"/>
    </xf>
    <xf numFmtId="0" fontId="7" fillId="4" borderId="3" xfId="3" applyBorder="1"/>
    <xf numFmtId="0" fontId="3" fillId="4" borderId="4" xfId="3" applyFont="1" applyBorder="1" applyAlignment="1">
      <alignment horizontal="center"/>
    </xf>
    <xf numFmtId="0" fontId="0" fillId="0" borderId="5" xfId="0" applyBorder="1"/>
    <xf numFmtId="0" fontId="0" fillId="0" borderId="3" xfId="0" applyFill="1" applyBorder="1"/>
    <xf numFmtId="0" fontId="0" fillId="0" borderId="6" xfId="0" applyBorder="1"/>
    <xf numFmtId="0" fontId="0" fillId="0" borderId="7" xfId="0" applyBorder="1"/>
    <xf numFmtId="0" fontId="0" fillId="0" borderId="8" xfId="0" applyBorder="1"/>
    <xf numFmtId="0" fontId="1" fillId="2" borderId="33" xfId="1" applyBorder="1" applyAlignment="1" applyProtection="1">
      <alignment horizontal="center"/>
      <protection locked="0"/>
    </xf>
    <xf numFmtId="177" fontId="0" fillId="0" borderId="0" xfId="0" applyNumberFormat="1"/>
    <xf numFmtId="0" fontId="0" fillId="0" borderId="26" xfId="0" applyFill="1" applyBorder="1"/>
    <xf numFmtId="0" fontId="0" fillId="0" borderId="26" xfId="0" applyBorder="1"/>
    <xf numFmtId="0" fontId="0" fillId="0" borderId="23" xfId="0" applyBorder="1"/>
    <xf numFmtId="0" fontId="8" fillId="4" borderId="24" xfId="3" applyFont="1" applyBorder="1"/>
    <xf numFmtId="0" fontId="4" fillId="3" borderId="5" xfId="2" applyFont="1" applyBorder="1" applyAlignment="1">
      <alignment horizontal="center"/>
    </xf>
    <xf numFmtId="0" fontId="0" fillId="3" borderId="3" xfId="2" applyFont="1" applyBorder="1" applyAlignment="1">
      <alignment horizontal="center"/>
    </xf>
    <xf numFmtId="0" fontId="0" fillId="3" borderId="6" xfId="2" applyFont="1" applyBorder="1" applyAlignment="1">
      <alignment horizontal="center"/>
    </xf>
    <xf numFmtId="0" fontId="3" fillId="3" borderId="7" xfId="2" applyFont="1" applyBorder="1" applyAlignment="1">
      <alignment horizontal="center"/>
    </xf>
    <xf numFmtId="0" fontId="1" fillId="2" borderId="4" xfId="1" applyBorder="1" applyAlignment="1" applyProtection="1">
      <alignment horizontal="center"/>
      <protection locked="0"/>
    </xf>
    <xf numFmtId="0" fontId="3" fillId="3" borderId="8" xfId="2" applyFont="1" applyBorder="1" applyAlignment="1">
      <alignment horizontal="center"/>
    </xf>
    <xf numFmtId="0" fontId="0" fillId="3" borderId="7" xfId="2" applyFont="1" applyBorder="1" applyAlignment="1" applyProtection="1">
      <alignment horizontal="center"/>
      <protection locked="0"/>
    </xf>
    <xf numFmtId="0" fontId="0" fillId="3" borderId="2" xfId="2" applyFont="1" applyBorder="1" applyProtection="1">
      <protection locked="0"/>
    </xf>
    <xf numFmtId="0" fontId="0" fillId="3" borderId="4" xfId="2" applyFont="1" applyBorder="1" applyProtection="1">
      <protection locked="0"/>
    </xf>
    <xf numFmtId="178" fontId="0" fillId="3" borderId="7" xfId="2" applyNumberFormat="1" applyFont="1" applyBorder="1" applyAlignment="1" applyProtection="1">
      <alignment horizontal="center"/>
      <protection locked="0"/>
    </xf>
    <xf numFmtId="10" fontId="0" fillId="0" borderId="2" xfId="0" applyNumberFormat="1" applyBorder="1" applyAlignment="1" applyProtection="1">
      <alignment horizontal="center"/>
      <protection locked="0"/>
    </xf>
    <xf numFmtId="0" fontId="7" fillId="4" borderId="7" xfId="3" applyBorder="1"/>
    <xf numFmtId="176" fontId="0" fillId="0" borderId="2" xfId="0" applyNumberFormat="1" applyBorder="1" applyAlignment="1">
      <alignment horizontal="center"/>
    </xf>
    <xf numFmtId="0" fontId="5" fillId="3" borderId="39" xfId="2" applyFont="1" applyBorder="1" applyAlignment="1" applyProtection="1">
      <alignment horizontal="center"/>
    </xf>
    <xf numFmtId="0" fontId="2" fillId="3" borderId="40" xfId="2" applyFont="1" applyBorder="1" applyAlignment="1" applyProtection="1">
      <alignment horizontal="center"/>
    </xf>
    <xf numFmtId="0" fontId="2" fillId="3" borderId="41" xfId="2" applyFont="1" applyBorder="1" applyAlignment="1" applyProtection="1">
      <alignment horizontal="center"/>
    </xf>
    <xf numFmtId="0" fontId="2" fillId="3" borderId="39" xfId="2" applyFont="1" applyBorder="1" applyAlignment="1" applyProtection="1">
      <alignment horizontal="center"/>
    </xf>
    <xf numFmtId="0" fontId="2" fillId="3" borderId="42" xfId="2" applyFont="1" applyBorder="1" applyAlignment="1" applyProtection="1">
      <alignment horizontal="center"/>
    </xf>
    <xf numFmtId="0" fontId="2" fillId="3" borderId="14" xfId="2" applyFont="1" applyBorder="1" applyAlignment="1" applyProtection="1">
      <alignment horizontal="center"/>
    </xf>
    <xf numFmtId="0" fontId="1" fillId="2" borderId="15" xfId="1" applyBorder="1" applyAlignment="1" applyProtection="1">
      <alignment horizontal="center"/>
    </xf>
    <xf numFmtId="0" fontId="1" fillId="2" borderId="38" xfId="1" applyBorder="1" applyAlignment="1" applyProtection="1">
      <alignment horizontal="center"/>
    </xf>
    <xf numFmtId="0" fontId="0" fillId="0" borderId="14" xfId="0" applyBorder="1" applyAlignment="1" applyProtection="1">
      <alignment horizontal="center"/>
    </xf>
    <xf numFmtId="0" fontId="0" fillId="0" borderId="15" xfId="0" applyBorder="1" applyAlignment="1" applyProtection="1">
      <alignment horizontal="center"/>
    </xf>
    <xf numFmtId="177" fontId="0" fillId="0" borderId="15" xfId="0" applyNumberFormat="1" applyBorder="1" applyAlignment="1" applyProtection="1">
      <alignment horizontal="center"/>
    </xf>
    <xf numFmtId="178" fontId="0" fillId="0" borderId="15" xfId="0" applyNumberFormat="1" applyBorder="1" applyAlignment="1" applyProtection="1">
      <alignment horizontal="center"/>
    </xf>
    <xf numFmtId="10" fontId="0" fillId="0" borderId="15" xfId="0" applyNumberFormat="1" applyBorder="1" applyAlignment="1" applyProtection="1">
      <alignment horizontal="center"/>
    </xf>
    <xf numFmtId="0" fontId="2" fillId="3" borderId="37" xfId="2" applyFont="1" applyBorder="1" applyAlignment="1" applyProtection="1">
      <alignment horizontal="center"/>
    </xf>
    <xf numFmtId="0" fontId="1" fillId="2" borderId="20" xfId="1" applyBorder="1" applyAlignment="1" applyProtection="1">
      <alignment horizontal="center"/>
    </xf>
    <xf numFmtId="0" fontId="1" fillId="2" borderId="29" xfId="1" applyBorder="1" applyAlignment="1" applyProtection="1">
      <alignment horizontal="center"/>
    </xf>
    <xf numFmtId="0" fontId="0" fillId="0" borderId="37" xfId="0" applyBorder="1" applyAlignment="1" applyProtection="1">
      <alignment horizontal="center"/>
    </xf>
    <xf numFmtId="0" fontId="0" fillId="0" borderId="20" xfId="0" applyBorder="1" applyAlignment="1" applyProtection="1">
      <alignment horizontal="center"/>
    </xf>
    <xf numFmtId="177" fontId="0" fillId="0" borderId="51" xfId="0" applyNumberFormat="1" applyBorder="1" applyAlignment="1" applyProtection="1">
      <alignment horizontal="center"/>
    </xf>
    <xf numFmtId="177" fontId="0" fillId="0" borderId="20" xfId="0" applyNumberFormat="1" applyBorder="1" applyAlignment="1" applyProtection="1">
      <alignment horizontal="center"/>
    </xf>
    <xf numFmtId="178" fontId="0" fillId="0" borderId="51" xfId="0" applyNumberFormat="1" applyBorder="1" applyAlignment="1" applyProtection="1">
      <alignment horizontal="center"/>
    </xf>
    <xf numFmtId="178" fontId="0" fillId="0" borderId="20" xfId="0" applyNumberFormat="1" applyBorder="1" applyAlignment="1" applyProtection="1">
      <alignment horizontal="center"/>
    </xf>
    <xf numFmtId="10" fontId="0" fillId="0" borderId="20" xfId="0" applyNumberFormat="1" applyBorder="1" applyAlignment="1" applyProtection="1">
      <alignment horizontal="center"/>
    </xf>
    <xf numFmtId="0" fontId="2" fillId="3" borderId="56" xfId="2" applyFont="1" applyBorder="1" applyAlignment="1" applyProtection="1">
      <alignment horizontal="center"/>
    </xf>
    <xf numFmtId="0" fontId="1" fillId="2" borderId="3" xfId="1" applyBorder="1" applyAlignment="1" applyProtection="1">
      <alignment horizontal="center"/>
    </xf>
    <xf numFmtId="0" fontId="0" fillId="0" borderId="3" xfId="0" applyBorder="1" applyAlignment="1" applyProtection="1">
      <alignment horizontal="center"/>
    </xf>
    <xf numFmtId="0" fontId="0" fillId="0" borderId="11" xfId="0" applyFont="1" applyBorder="1" applyAlignment="1" applyProtection="1">
      <alignment horizontal="center"/>
    </xf>
    <xf numFmtId="176" fontId="0" fillId="0" borderId="3" xfId="0" applyNumberFormat="1" applyFont="1" applyBorder="1" applyAlignment="1" applyProtection="1">
      <alignment horizontal="center"/>
    </xf>
    <xf numFmtId="176" fontId="0" fillId="0" borderId="3" xfId="0" applyNumberFormat="1" applyBorder="1" applyAlignment="1" applyProtection="1">
      <alignment horizontal="center"/>
    </xf>
    <xf numFmtId="178" fontId="0" fillId="0" borderId="3" xfId="0" applyNumberFormat="1" applyBorder="1" applyAlignment="1" applyProtection="1">
      <alignment horizontal="center"/>
    </xf>
    <xf numFmtId="178" fontId="0" fillId="0" borderId="3" xfId="0" applyNumberFormat="1" applyFont="1" applyBorder="1" applyAlignment="1" applyProtection="1">
      <alignment horizontal="center"/>
    </xf>
    <xf numFmtId="10" fontId="0" fillId="0" borderId="3" xfId="0" applyNumberFormat="1" applyBorder="1" applyAlignment="1" applyProtection="1">
      <alignment horizontal="center"/>
    </xf>
    <xf numFmtId="0" fontId="2" fillId="3" borderId="44" xfId="2" applyFont="1" applyBorder="1" applyAlignment="1" applyProtection="1">
      <alignment horizontal="center"/>
    </xf>
    <xf numFmtId="0" fontId="1" fillId="2" borderId="2" xfId="1" applyBorder="1" applyAlignment="1" applyProtection="1">
      <alignment horizontal="center"/>
    </xf>
    <xf numFmtId="0" fontId="0" fillId="0" borderId="12" xfId="0" applyBorder="1" applyAlignment="1" applyProtection="1">
      <alignment horizontal="center"/>
    </xf>
    <xf numFmtId="0" fontId="0" fillId="0" borderId="2" xfId="0" applyFill="1" applyBorder="1" applyAlignment="1" applyProtection="1">
      <alignment horizontal="center"/>
    </xf>
    <xf numFmtId="176" fontId="0" fillId="0" borderId="2" xfId="0" applyNumberFormat="1" applyFont="1" applyBorder="1" applyAlignment="1" applyProtection="1">
      <alignment horizontal="center"/>
    </xf>
    <xf numFmtId="177" fontId="0" fillId="0" borderId="2" xfId="0" applyNumberFormat="1" applyBorder="1" applyAlignment="1" applyProtection="1">
      <alignment horizontal="center"/>
    </xf>
    <xf numFmtId="178" fontId="0" fillId="0" borderId="2" xfId="0" applyNumberFormat="1" applyBorder="1" applyAlignment="1" applyProtection="1">
      <alignment horizontal="center"/>
    </xf>
    <xf numFmtId="10" fontId="0" fillId="0" borderId="2" xfId="0" applyNumberFormat="1" applyBorder="1" applyAlignment="1" applyProtection="1">
      <alignment horizontal="center"/>
    </xf>
    <xf numFmtId="0" fontId="0" fillId="0" borderId="2" xfId="0" applyBorder="1" applyAlignment="1" applyProtection="1">
      <alignment horizontal="center"/>
    </xf>
    <xf numFmtId="0" fontId="2" fillId="3" borderId="19" xfId="2" applyFont="1" applyBorder="1" applyAlignment="1" applyProtection="1">
      <alignment horizontal="center"/>
    </xf>
    <xf numFmtId="0" fontId="0" fillId="0" borderId="9" xfId="0" applyBorder="1" applyAlignment="1" applyProtection="1">
      <alignment horizontal="center"/>
    </xf>
    <xf numFmtId="0" fontId="0" fillId="0" borderId="13" xfId="0" applyFill="1" applyBorder="1" applyAlignment="1" applyProtection="1">
      <alignment horizontal="center"/>
    </xf>
    <xf numFmtId="178" fontId="1" fillId="2" borderId="9" xfId="1" applyNumberFormat="1" applyBorder="1" applyAlignment="1" applyProtection="1">
      <alignment horizontal="center"/>
    </xf>
    <xf numFmtId="178" fontId="0" fillId="0" borderId="49" xfId="0" applyNumberFormat="1" applyBorder="1" applyAlignment="1" applyProtection="1">
      <alignment horizontal="center"/>
    </xf>
    <xf numFmtId="178" fontId="0" fillId="0" borderId="9" xfId="0" applyNumberFormat="1" applyBorder="1" applyAlignment="1" applyProtection="1">
      <alignment horizontal="center"/>
    </xf>
    <xf numFmtId="10" fontId="0" fillId="0" borderId="46" xfId="0" applyNumberFormat="1" applyBorder="1" applyAlignment="1" applyProtection="1">
      <alignment horizontal="center"/>
    </xf>
    <xf numFmtId="0" fontId="4" fillId="3" borderId="23" xfId="2" applyFont="1" applyBorder="1" applyAlignment="1" applyProtection="1">
      <alignment horizontal="center"/>
    </xf>
    <xf numFmtId="178" fontId="0" fillId="0" borderId="22" xfId="0" applyNumberFormat="1" applyBorder="1" applyAlignment="1" applyProtection="1">
      <alignment horizontal="center"/>
    </xf>
    <xf numFmtId="0" fontId="0" fillId="0" borderId="0" xfId="0" applyAlignment="1" applyProtection="1">
      <alignment horizontal="center"/>
    </xf>
    <xf numFmtId="0" fontId="0" fillId="0" borderId="0" xfId="0" applyProtection="1"/>
    <xf numFmtId="10" fontId="0" fillId="0" borderId="17" xfId="0" applyNumberFormat="1" applyBorder="1" applyAlignment="1" applyProtection="1">
      <alignment horizontal="center"/>
    </xf>
    <xf numFmtId="10" fontId="0" fillId="0" borderId="0" xfId="0" applyNumberFormat="1" applyBorder="1" applyAlignment="1" applyProtection="1">
      <alignment horizontal="center"/>
    </xf>
    <xf numFmtId="0" fontId="0" fillId="0" borderId="0" xfId="0" applyBorder="1" applyAlignment="1" applyProtection="1">
      <alignment horizontal="center"/>
    </xf>
    <xf numFmtId="0" fontId="4" fillId="0" borderId="24" xfId="0" applyFont="1" applyBorder="1" applyAlignment="1" applyProtection="1">
      <alignment horizontal="center"/>
    </xf>
    <xf numFmtId="0" fontId="2" fillId="3" borderId="48" xfId="2" applyFont="1" applyBorder="1" applyAlignment="1" applyProtection="1">
      <alignment horizontal="center"/>
    </xf>
    <xf numFmtId="0" fontId="0" fillId="0" borderId="16" xfId="0" applyBorder="1" applyAlignment="1" applyProtection="1">
      <alignment horizontal="center"/>
    </xf>
    <xf numFmtId="0" fontId="0" fillId="0" borderId="47" xfId="0" applyBorder="1" applyAlignment="1" applyProtection="1">
      <alignment horizontal="center"/>
    </xf>
    <xf numFmtId="0" fontId="2" fillId="3" borderId="43" xfId="2" applyFont="1" applyBorder="1" applyAlignment="1" applyProtection="1">
      <alignment horizontal="center"/>
    </xf>
    <xf numFmtId="176" fontId="0" fillId="0" borderId="15" xfId="0" applyNumberFormat="1" applyFont="1" applyBorder="1" applyAlignment="1" applyProtection="1">
      <alignment horizontal="center"/>
    </xf>
    <xf numFmtId="176" fontId="0" fillId="0" borderId="15" xfId="0" applyNumberFormat="1" applyBorder="1" applyAlignment="1" applyProtection="1">
      <alignment horizontal="center"/>
    </xf>
    <xf numFmtId="178" fontId="0" fillId="0" borderId="15" xfId="0" applyNumberFormat="1" applyFont="1" applyBorder="1" applyAlignment="1" applyProtection="1">
      <alignment horizontal="center"/>
    </xf>
    <xf numFmtId="0" fontId="0" fillId="0" borderId="9" xfId="0" applyFill="1" applyBorder="1" applyAlignment="1" applyProtection="1">
      <alignment horizontal="center"/>
    </xf>
    <xf numFmtId="178" fontId="1" fillId="2" borderId="54" xfId="1" applyNumberFormat="1" applyBorder="1" applyAlignment="1" applyProtection="1">
      <alignment horizontal="center"/>
    </xf>
    <xf numFmtId="10" fontId="0" fillId="0" borderId="9" xfId="0" applyNumberFormat="1" applyBorder="1" applyAlignment="1" applyProtection="1">
      <alignment horizontal="center"/>
    </xf>
    <xf numFmtId="0" fontId="4" fillId="3" borderId="27" xfId="2" applyFont="1" applyBorder="1" applyAlignment="1" applyProtection="1">
      <alignment horizontal="center"/>
    </xf>
    <xf numFmtId="0" fontId="5" fillId="3" borderId="5" xfId="2" applyFont="1" applyBorder="1" applyAlignment="1" applyProtection="1">
      <alignment horizontal="center"/>
    </xf>
    <xf numFmtId="0" fontId="2" fillId="3" borderId="3" xfId="2" applyFont="1" applyBorder="1" applyAlignment="1" applyProtection="1">
      <alignment horizontal="center"/>
    </xf>
    <xf numFmtId="0" fontId="2" fillId="3" borderId="11" xfId="2" applyFont="1" applyBorder="1" applyAlignment="1" applyProtection="1">
      <alignment horizontal="center"/>
    </xf>
    <xf numFmtId="0" fontId="2" fillId="3" borderId="28" xfId="2" applyFont="1" applyBorder="1" applyAlignment="1" applyProtection="1">
      <alignment horizontal="center"/>
    </xf>
    <xf numFmtId="0" fontId="2" fillId="3" borderId="7" xfId="2" applyFont="1" applyBorder="1" applyAlignment="1" applyProtection="1">
      <alignment horizontal="center"/>
    </xf>
    <xf numFmtId="0" fontId="2" fillId="3" borderId="8" xfId="2" applyFont="1" applyBorder="1" applyAlignment="1" applyProtection="1">
      <alignment horizontal="center"/>
    </xf>
    <xf numFmtId="0" fontId="0" fillId="0" borderId="13" xfId="0" applyBorder="1" applyAlignment="1" applyProtection="1">
      <alignment horizontal="center"/>
    </xf>
    <xf numFmtId="10" fontId="0" fillId="0" borderId="49" xfId="0" applyNumberFormat="1" applyBorder="1" applyAlignment="1" applyProtection="1">
      <alignment horizontal="center"/>
    </xf>
    <xf numFmtId="178" fontId="0" fillId="3" borderId="37" xfId="2" applyNumberFormat="1" applyFont="1" applyBorder="1" applyAlignment="1" applyProtection="1">
      <alignment horizontal="center"/>
      <protection locked="0"/>
    </xf>
    <xf numFmtId="10" fontId="0" fillId="0" borderId="20" xfId="0" applyNumberFormat="1" applyBorder="1" applyAlignment="1" applyProtection="1">
      <alignment horizontal="center"/>
      <protection locked="0"/>
    </xf>
    <xf numFmtId="178" fontId="0" fillId="0" borderId="4" xfId="0" applyNumberFormat="1" applyBorder="1" applyAlignment="1" applyProtection="1">
      <alignment horizontal="center"/>
      <protection locked="0"/>
    </xf>
    <xf numFmtId="178" fontId="0" fillId="0" borderId="29" xfId="0" applyNumberFormat="1" applyBorder="1" applyAlignment="1" applyProtection="1">
      <alignment horizontal="center"/>
      <protection locked="0"/>
    </xf>
    <xf numFmtId="178" fontId="0" fillId="3" borderId="7" xfId="2" applyNumberFormat="1" applyFont="1" applyBorder="1" applyAlignment="1">
      <alignment horizontal="center"/>
    </xf>
    <xf numFmtId="178" fontId="0" fillId="3" borderId="8" xfId="2" applyNumberFormat="1" applyFont="1" applyBorder="1" applyAlignment="1">
      <alignment horizontal="center"/>
    </xf>
    <xf numFmtId="10" fontId="0" fillId="5" borderId="2" xfId="2" applyNumberFormat="1" applyFont="1" applyFill="1" applyBorder="1" applyAlignment="1">
      <alignment horizontal="center"/>
    </xf>
    <xf numFmtId="178" fontId="0" fillId="0" borderId="4" xfId="2" applyNumberFormat="1" applyFont="1" applyFill="1" applyBorder="1" applyAlignment="1">
      <alignment horizontal="center"/>
    </xf>
    <xf numFmtId="10" fontId="0" fillId="5" borderId="9" xfId="2" applyNumberFormat="1" applyFont="1" applyFill="1" applyBorder="1" applyAlignment="1">
      <alignment horizontal="center"/>
    </xf>
    <xf numFmtId="178" fontId="0" fillId="0" borderId="10" xfId="2" applyNumberFormat="1" applyFont="1" applyFill="1" applyBorder="1" applyAlignment="1">
      <alignment horizontal="center"/>
    </xf>
    <xf numFmtId="10" fontId="1" fillId="2" borderId="38" xfId="1" applyNumberFormat="1" applyBorder="1" applyAlignment="1" applyProtection="1">
      <alignment horizontal="center"/>
      <protection locked="0"/>
    </xf>
    <xf numFmtId="10" fontId="1" fillId="2" borderId="29" xfId="1" applyNumberFormat="1" applyBorder="1" applyAlignment="1" applyProtection="1">
      <alignment horizontal="center"/>
      <protection locked="0"/>
    </xf>
    <xf numFmtId="10" fontId="1" fillId="2" borderId="6" xfId="1" applyNumberFormat="1" applyBorder="1" applyAlignment="1" applyProtection="1">
      <alignment horizontal="center"/>
      <protection locked="0"/>
    </xf>
    <xf numFmtId="10" fontId="1" fillId="2" borderId="4" xfId="1" applyNumberFormat="1" applyBorder="1" applyAlignment="1" applyProtection="1">
      <alignment horizontal="center"/>
      <protection locked="0"/>
    </xf>
    <xf numFmtId="10" fontId="1" fillId="2" borderId="10" xfId="1" applyNumberFormat="1" applyBorder="1" applyAlignment="1" applyProtection="1">
      <alignment horizontal="center"/>
      <protection locked="0"/>
    </xf>
    <xf numFmtId="10" fontId="1" fillId="2" borderId="52" xfId="1" applyNumberFormat="1" applyBorder="1" applyAlignment="1" applyProtection="1">
      <alignment horizontal="center"/>
      <protection locked="0"/>
    </xf>
    <xf numFmtId="10" fontId="1" fillId="2" borderId="53" xfId="1" applyNumberFormat="1" applyBorder="1" applyAlignment="1" applyProtection="1">
      <alignment horizontal="center"/>
      <protection locked="0"/>
    </xf>
    <xf numFmtId="0" fontId="2" fillId="3" borderId="6" xfId="2" applyFont="1" applyBorder="1" applyAlignment="1" applyProtection="1">
      <alignment horizontal="center"/>
    </xf>
    <xf numFmtId="0" fontId="0" fillId="0" borderId="4" xfId="0" applyBorder="1" applyAlignment="1" applyProtection="1">
      <alignment horizontal="center"/>
    </xf>
    <xf numFmtId="0" fontId="1" fillId="2" borderId="45" xfId="1" applyBorder="1" applyAlignment="1" applyProtection="1">
      <alignment horizontal="center"/>
    </xf>
    <xf numFmtId="178" fontId="1" fillId="2" borderId="2" xfId="1" applyNumberFormat="1" applyBorder="1" applyAlignment="1" applyProtection="1">
      <alignment horizontal="center"/>
    </xf>
    <xf numFmtId="0" fontId="0" fillId="0" borderId="10" xfId="0" applyBorder="1" applyAlignment="1" applyProtection="1">
      <alignment horizontal="center"/>
    </xf>
    <xf numFmtId="177" fontId="0" fillId="0" borderId="23" xfId="0" applyNumberFormat="1" applyBorder="1" applyAlignment="1" applyProtection="1">
      <alignment horizontal="center"/>
    </xf>
    <xf numFmtId="0" fontId="4" fillId="3" borderId="22" xfId="2" applyFont="1" applyBorder="1" applyAlignment="1" applyProtection="1">
      <alignment horizontal="center"/>
    </xf>
    <xf numFmtId="0" fontId="5" fillId="3" borderId="17" xfId="2" applyFont="1" applyBorder="1" applyAlignment="1" applyProtection="1">
      <alignment horizontal="center"/>
    </xf>
    <xf numFmtId="0" fontId="0" fillId="3" borderId="36" xfId="2" applyFont="1" applyBorder="1" applyAlignment="1" applyProtection="1">
      <alignment horizontal="center"/>
    </xf>
    <xf numFmtId="0" fontId="5" fillId="3" borderId="42" xfId="2" applyFont="1" applyBorder="1" applyAlignment="1" applyProtection="1">
      <alignment horizontal="center"/>
    </xf>
    <xf numFmtId="0" fontId="0" fillId="3" borderId="17" xfId="2" applyFont="1" applyBorder="1" applyAlignment="1" applyProtection="1">
      <alignment horizontal="center"/>
    </xf>
    <xf numFmtId="0" fontId="3" fillId="3" borderId="35" xfId="2" applyFont="1" applyBorder="1" applyAlignment="1" applyProtection="1">
      <alignment horizontal="center"/>
    </xf>
    <xf numFmtId="0" fontId="1" fillId="2" borderId="17" xfId="1" applyBorder="1" applyAlignment="1" applyProtection="1">
      <alignment horizontal="center"/>
    </xf>
    <xf numFmtId="0" fontId="3" fillId="3" borderId="42" xfId="2" applyFont="1" applyBorder="1" applyAlignment="1" applyProtection="1">
      <alignment horizontal="center"/>
    </xf>
    <xf numFmtId="0" fontId="1" fillId="2" borderId="22" xfId="1" applyBorder="1" applyAlignment="1" applyProtection="1">
      <alignment horizontal="center"/>
    </xf>
    <xf numFmtId="0" fontId="3" fillId="3" borderId="25" xfId="2" applyFont="1" applyBorder="1" applyAlignment="1" applyProtection="1">
      <alignment horizontal="center"/>
    </xf>
    <xf numFmtId="0" fontId="1" fillId="2" borderId="26" xfId="1" applyBorder="1" applyAlignment="1" applyProtection="1">
      <alignment horizontal="center"/>
    </xf>
    <xf numFmtId="0" fontId="3" fillId="3" borderId="17" xfId="2" applyFont="1" applyBorder="1" applyAlignment="1" applyProtection="1">
      <alignment horizontal="center"/>
    </xf>
    <xf numFmtId="0" fontId="1" fillId="2" borderId="42" xfId="1" applyBorder="1" applyAlignment="1" applyProtection="1">
      <alignment horizontal="center"/>
    </xf>
    <xf numFmtId="0" fontId="3" fillId="3" borderId="27" xfId="2" applyFont="1" applyBorder="1" applyAlignment="1" applyProtection="1">
      <alignment horizontal="center"/>
    </xf>
    <xf numFmtId="0" fontId="1" fillId="2" borderId="23" xfId="1" applyBorder="1" applyAlignment="1" applyProtection="1">
      <alignment horizontal="center"/>
    </xf>
    <xf numFmtId="0" fontId="3" fillId="3" borderId="26" xfId="2" applyFont="1" applyBorder="1" applyAlignment="1" applyProtection="1">
      <alignment horizontal="center"/>
    </xf>
    <xf numFmtId="0" fontId="4" fillId="3" borderId="58" xfId="2" applyFont="1" applyBorder="1" applyAlignment="1" applyProtection="1">
      <alignment horizontal="center"/>
    </xf>
    <xf numFmtId="0" fontId="1" fillId="3" borderId="42" xfId="2" applyFont="1" applyBorder="1" applyProtection="1"/>
    <xf numFmtId="0" fontId="4" fillId="3" borderId="60" xfId="2" applyFont="1" applyBorder="1" applyAlignment="1" applyProtection="1">
      <alignment horizontal="center"/>
    </xf>
    <xf numFmtId="0" fontId="0" fillId="3" borderId="42" xfId="2" applyFont="1" applyBorder="1" applyProtection="1"/>
    <xf numFmtId="0" fontId="3" fillId="3" borderId="23" xfId="2" applyFont="1" applyBorder="1" applyAlignment="1" applyProtection="1">
      <alignment horizontal="center"/>
    </xf>
    <xf numFmtId="178" fontId="0" fillId="0" borderId="17" xfId="0" applyNumberFormat="1" applyBorder="1" applyAlignment="1" applyProtection="1">
      <alignment horizontal="center"/>
    </xf>
    <xf numFmtId="0" fontId="3" fillId="3" borderId="58" xfId="2" applyFont="1" applyBorder="1" applyAlignment="1" applyProtection="1">
      <alignment horizontal="center"/>
    </xf>
    <xf numFmtId="178" fontId="0" fillId="0" borderId="23" xfId="0" applyNumberFormat="1" applyBorder="1" applyAlignment="1" applyProtection="1">
      <alignment horizontal="center"/>
    </xf>
    <xf numFmtId="178" fontId="0" fillId="0" borderId="50" xfId="0" applyNumberFormat="1" applyBorder="1" applyAlignment="1" applyProtection="1">
      <alignment horizontal="center"/>
    </xf>
    <xf numFmtId="178" fontId="1" fillId="2" borderId="17" xfId="1" applyNumberFormat="1" applyBorder="1" applyAlignment="1" applyProtection="1">
      <alignment horizontal="center"/>
    </xf>
    <xf numFmtId="0" fontId="1" fillId="2" borderId="2" xfId="1" applyFont="1" applyBorder="1" applyProtection="1"/>
    <xf numFmtId="178" fontId="0" fillId="0" borderId="2" xfId="0" applyNumberFormat="1" applyFont="1" applyBorder="1" applyAlignment="1" applyProtection="1">
      <alignment horizontal="center"/>
    </xf>
    <xf numFmtId="10" fontId="0" fillId="0" borderId="2" xfId="0" applyNumberFormat="1" applyFont="1" applyBorder="1" applyAlignment="1" applyProtection="1">
      <alignment horizontal="center"/>
    </xf>
    <xf numFmtId="0" fontId="1" fillId="2" borderId="9" xfId="1" applyFont="1" applyBorder="1" applyProtection="1"/>
    <xf numFmtId="176" fontId="0" fillId="0" borderId="9" xfId="0" applyNumberFormat="1" applyFont="1" applyBorder="1" applyAlignment="1" applyProtection="1">
      <alignment horizontal="center"/>
    </xf>
    <xf numFmtId="178" fontId="0" fillId="0" borderId="9" xfId="0" applyNumberFormat="1" applyFont="1" applyBorder="1" applyAlignment="1" applyProtection="1">
      <alignment horizontal="center"/>
    </xf>
    <xf numFmtId="10" fontId="0" fillId="0" borderId="9" xfId="0" applyNumberFormat="1" applyFont="1" applyBorder="1" applyAlignment="1" applyProtection="1">
      <alignment horizontal="center"/>
    </xf>
    <xf numFmtId="0" fontId="1" fillId="2" borderId="10" xfId="1" applyBorder="1" applyAlignment="1" applyProtection="1">
      <alignment horizontal="center"/>
      <protection locked="0"/>
    </xf>
    <xf numFmtId="0" fontId="4" fillId="3" borderId="5" xfId="2" applyFont="1" applyBorder="1" applyAlignment="1" applyProtection="1">
      <alignment horizontal="center"/>
    </xf>
    <xf numFmtId="0" fontId="0" fillId="3" borderId="3" xfId="2" applyFont="1" applyBorder="1" applyAlignment="1" applyProtection="1">
      <alignment horizontal="center"/>
    </xf>
    <xf numFmtId="178" fontId="0" fillId="3" borderId="7" xfId="2" applyNumberFormat="1" applyFont="1" applyBorder="1" applyAlignment="1" applyProtection="1">
      <alignment horizontal="center"/>
    </xf>
    <xf numFmtId="10" fontId="0" fillId="3" borderId="2" xfId="2" applyNumberFormat="1" applyFont="1" applyBorder="1" applyAlignment="1" applyProtection="1">
      <alignment horizontal="center"/>
    </xf>
    <xf numFmtId="0" fontId="0" fillId="3" borderId="4" xfId="2" applyFont="1" applyBorder="1" applyProtection="1"/>
    <xf numFmtId="10" fontId="0" fillId="0" borderId="4" xfId="0" applyNumberFormat="1" applyBorder="1" applyAlignment="1" applyProtection="1">
      <alignment horizontal="center"/>
    </xf>
    <xf numFmtId="178" fontId="0" fillId="3" borderId="37" xfId="2" applyNumberFormat="1" applyFont="1" applyBorder="1" applyAlignment="1" applyProtection="1">
      <alignment horizontal="center"/>
    </xf>
    <xf numFmtId="10" fontId="0" fillId="0" borderId="29" xfId="0" applyNumberFormat="1" applyBorder="1" applyAlignment="1" applyProtection="1">
      <alignment horizontal="center"/>
    </xf>
    <xf numFmtId="178" fontId="0" fillId="3" borderId="8" xfId="2" applyNumberFormat="1" applyFont="1" applyBorder="1" applyAlignment="1" applyProtection="1">
      <alignment horizontal="center"/>
    </xf>
    <xf numFmtId="10" fontId="0" fillId="0" borderId="10" xfId="0" applyNumberFormat="1" applyBorder="1" applyAlignment="1" applyProtection="1">
      <alignment horizontal="center"/>
    </xf>
    <xf numFmtId="0" fontId="4" fillId="3" borderId="27" xfId="2" applyFont="1" applyBorder="1" applyAlignment="1">
      <alignment horizontal="center"/>
    </xf>
    <xf numFmtId="177" fontId="0" fillId="0" borderId="23" xfId="0" applyNumberFormat="1" applyBorder="1" applyAlignment="1">
      <alignment horizontal="center"/>
    </xf>
    <xf numFmtId="0" fontId="1" fillId="3" borderId="17" xfId="2" applyFont="1" applyBorder="1" applyProtection="1"/>
    <xf numFmtId="0" fontId="4" fillId="3" borderId="21" xfId="2" applyFont="1" applyBorder="1" applyAlignment="1" applyProtection="1">
      <alignment horizontal="center"/>
    </xf>
    <xf numFmtId="177" fontId="0" fillId="0" borderId="24" xfId="0" applyNumberFormat="1" applyBorder="1" applyAlignment="1" applyProtection="1">
      <alignment horizontal="center"/>
    </xf>
    <xf numFmtId="0" fontId="4" fillId="3" borderId="42" xfId="2" applyFont="1" applyBorder="1" applyAlignment="1" applyProtection="1">
      <alignment horizontal="center"/>
    </xf>
    <xf numFmtId="0" fontId="4" fillId="3" borderId="22" xfId="2" applyFont="1" applyBorder="1" applyAlignment="1">
      <alignment horizontal="center"/>
    </xf>
    <xf numFmtId="0" fontId="3" fillId="3" borderId="22" xfId="2" applyFont="1" applyBorder="1" applyAlignment="1" applyProtection="1">
      <alignment horizontal="center"/>
    </xf>
    <xf numFmtId="177" fontId="0" fillId="0" borderId="31" xfId="0" applyNumberFormat="1" applyBorder="1" applyAlignment="1" applyProtection="1">
      <alignment horizontal="center"/>
    </xf>
    <xf numFmtId="0" fontId="3" fillId="3" borderId="17" xfId="2" applyFont="1" applyBorder="1" applyAlignment="1">
      <alignment horizontal="center"/>
    </xf>
    <xf numFmtId="0" fontId="0" fillId="3" borderId="38" xfId="2" applyFont="1" applyBorder="1" applyProtection="1"/>
    <xf numFmtId="0" fontId="4" fillId="3" borderId="58" xfId="2" applyFont="1" applyBorder="1" applyAlignment="1">
      <alignment horizontal="center"/>
    </xf>
    <xf numFmtId="0" fontId="4" fillId="3" borderId="42" xfId="2" applyFont="1" applyBorder="1" applyAlignment="1">
      <alignment horizontal="center"/>
    </xf>
    <xf numFmtId="0" fontId="0" fillId="3" borderId="61" xfId="2" applyFont="1" applyBorder="1" applyAlignment="1" applyProtection="1">
      <alignment horizontal="center"/>
    </xf>
    <xf numFmtId="0" fontId="0" fillId="3" borderId="55" xfId="2" applyFont="1" applyBorder="1" applyProtection="1"/>
    <xf numFmtId="178" fontId="0" fillId="0" borderId="55" xfId="0" applyNumberFormat="1" applyBorder="1" applyAlignment="1" applyProtection="1">
      <alignment horizontal="center"/>
    </xf>
    <xf numFmtId="178" fontId="0" fillId="0" borderId="57" xfId="0" applyNumberFormat="1" applyBorder="1" applyAlignment="1" applyProtection="1">
      <alignment horizontal="center"/>
    </xf>
    <xf numFmtId="178" fontId="0" fillId="0" borderId="46" xfId="0" applyNumberFormat="1" applyBorder="1" applyAlignment="1" applyProtection="1">
      <alignment horizontal="center"/>
    </xf>
    <xf numFmtId="0" fontId="0" fillId="3" borderId="14" xfId="2" applyFont="1" applyBorder="1" applyProtection="1"/>
    <xf numFmtId="0" fontId="0" fillId="3" borderId="7" xfId="2" applyFont="1" applyBorder="1" applyProtection="1"/>
    <xf numFmtId="178" fontId="0" fillId="0" borderId="7" xfId="0" applyNumberFormat="1" applyBorder="1" applyAlignment="1" applyProtection="1">
      <alignment horizontal="center"/>
    </xf>
    <xf numFmtId="178" fontId="0" fillId="0" borderId="8" xfId="0" applyNumberFormat="1" applyBorder="1" applyAlignment="1" applyProtection="1">
      <alignment horizontal="center"/>
    </xf>
    <xf numFmtId="0" fontId="3" fillId="3" borderId="37" xfId="2" applyFont="1" applyBorder="1" applyAlignment="1">
      <alignment horizontal="center"/>
    </xf>
    <xf numFmtId="0" fontId="1" fillId="2" borderId="29" xfId="1" applyBorder="1" applyAlignment="1" applyProtection="1">
      <alignment horizontal="center"/>
      <protection locked="0"/>
    </xf>
    <xf numFmtId="0" fontId="3" fillId="3" borderId="14" xfId="2" applyFont="1" applyBorder="1" applyAlignment="1">
      <alignment horizontal="center"/>
    </xf>
    <xf numFmtId="177" fontId="0" fillId="0" borderId="38" xfId="0" applyNumberFormat="1" applyBorder="1" applyAlignment="1">
      <alignment horizontal="center"/>
    </xf>
    <xf numFmtId="178" fontId="0" fillId="0" borderId="29" xfId="0" applyNumberFormat="1" applyBorder="1" applyAlignment="1">
      <alignment horizontal="center"/>
    </xf>
    <xf numFmtId="178" fontId="0" fillId="0" borderId="62" xfId="0" applyNumberFormat="1" applyBorder="1" applyAlignment="1">
      <alignment horizontal="center"/>
    </xf>
    <xf numFmtId="0" fontId="0" fillId="3" borderId="42" xfId="2" applyFont="1" applyBorder="1"/>
    <xf numFmtId="0" fontId="3" fillId="3" borderId="58" xfId="2" applyFont="1" applyBorder="1" applyAlignment="1">
      <alignment horizontal="right"/>
    </xf>
    <xf numFmtId="176" fontId="1" fillId="3" borderId="42" xfId="2" applyNumberFormat="1" applyFont="1" applyBorder="1"/>
    <xf numFmtId="0" fontId="2" fillId="3" borderId="17" xfId="2" applyFont="1" applyBorder="1" applyAlignment="1">
      <alignment horizontal="center"/>
    </xf>
    <xf numFmtId="0" fontId="0" fillId="0" borderId="35" xfId="0" applyBorder="1"/>
    <xf numFmtId="0" fontId="0" fillId="0" borderId="27" xfId="0" applyBorder="1"/>
    <xf numFmtId="0" fontId="0" fillId="0" borderId="24" xfId="0" applyBorder="1"/>
    <xf numFmtId="0" fontId="0" fillId="0" borderId="35" xfId="0" applyFill="1" applyBorder="1"/>
    <xf numFmtId="0" fontId="7" fillId="4" borderId="25" xfId="3" applyBorder="1"/>
    <xf numFmtId="0" fontId="2" fillId="4" borderId="27" xfId="3" applyFont="1" applyBorder="1" applyAlignment="1">
      <alignment horizontal="center"/>
    </xf>
    <xf numFmtId="0" fontId="0" fillId="0" borderId="31" xfId="0" applyFill="1" applyBorder="1"/>
    <xf numFmtId="0" fontId="0" fillId="0" borderId="32" xfId="0" applyFill="1" applyBorder="1"/>
    <xf numFmtId="0" fontId="0" fillId="0" borderId="17" xfId="0" applyBorder="1" applyAlignment="1">
      <alignment horizontal="center"/>
    </xf>
    <xf numFmtId="0" fontId="2" fillId="3" borderId="63" xfId="2" applyFont="1" applyBorder="1" applyAlignment="1" applyProtection="1">
      <alignment horizontal="center"/>
    </xf>
    <xf numFmtId="0" fontId="5" fillId="3" borderId="2" xfId="2" applyFont="1" applyBorder="1" applyAlignment="1" applyProtection="1">
      <alignment horizontal="center"/>
    </xf>
    <xf numFmtId="0" fontId="2" fillId="3" borderId="2" xfId="2" applyFont="1" applyBorder="1" applyAlignment="1" applyProtection="1">
      <alignment horizontal="center"/>
    </xf>
    <xf numFmtId="0" fontId="0" fillId="0" borderId="2" xfId="0" applyBorder="1" applyAlignment="1">
      <alignment horizontal="center"/>
    </xf>
    <xf numFmtId="0" fontId="9" fillId="3" borderId="2" xfId="2" applyFont="1" applyBorder="1" applyAlignment="1">
      <alignment horizontal="center"/>
    </xf>
    <xf numFmtId="0" fontId="4" fillId="3" borderId="2" xfId="2" applyFont="1" applyBorder="1" applyAlignment="1" applyProtection="1">
      <alignment horizontal="center"/>
    </xf>
    <xf numFmtId="0" fontId="2" fillId="3" borderId="2" xfId="2" applyFont="1" applyBorder="1" applyAlignment="1">
      <alignment horizontal="center"/>
    </xf>
    <xf numFmtId="0" fontId="0" fillId="3" borderId="2" xfId="2" applyFont="1" applyBorder="1" applyAlignment="1">
      <alignment horizontal="center"/>
    </xf>
    <xf numFmtId="0" fontId="2" fillId="3" borderId="64" xfId="2" applyFont="1" applyBorder="1" applyAlignment="1" applyProtection="1">
      <alignment horizontal="center"/>
    </xf>
    <xf numFmtId="0" fontId="10" fillId="3" borderId="2" xfId="2" applyFont="1" applyBorder="1" applyAlignment="1">
      <alignment horizontal="center"/>
    </xf>
    <xf numFmtId="0" fontId="10" fillId="5" borderId="2" xfId="1" applyFont="1" applyFill="1" applyBorder="1" applyAlignment="1" applyProtection="1">
      <alignment horizontal="center"/>
    </xf>
    <xf numFmtId="0" fontId="2" fillId="3" borderId="34" xfId="2" applyFont="1" applyBorder="1" applyAlignment="1">
      <alignment horizontal="center"/>
    </xf>
    <xf numFmtId="178" fontId="0" fillId="0" borderId="23" xfId="0" applyNumberFormat="1" applyBorder="1"/>
    <xf numFmtId="0" fontId="4" fillId="3" borderId="23" xfId="2" applyFont="1" applyBorder="1"/>
    <xf numFmtId="0" fontId="2" fillId="3" borderId="34" xfId="2" applyFont="1" applyBorder="1"/>
    <xf numFmtId="0" fontId="2" fillId="3" borderId="67" xfId="2" applyFont="1" applyBorder="1" applyAlignment="1" applyProtection="1">
      <alignment horizontal="center"/>
    </xf>
    <xf numFmtId="10" fontId="0" fillId="0" borderId="2" xfId="0" applyNumberFormat="1" applyBorder="1" applyAlignment="1">
      <alignment horizontal="center"/>
    </xf>
    <xf numFmtId="0" fontId="1" fillId="2" borderId="2" xfId="1" applyBorder="1" applyAlignment="1" applyProtection="1">
      <alignment horizontal="center"/>
      <protection locked="0"/>
    </xf>
    <xf numFmtId="0" fontId="0" fillId="0" borderId="20" xfId="0" applyBorder="1" applyAlignment="1">
      <alignment horizontal="center"/>
    </xf>
    <xf numFmtId="10" fontId="0" fillId="0" borderId="20" xfId="0" applyNumberFormat="1" applyBorder="1" applyAlignment="1">
      <alignment horizontal="center"/>
    </xf>
    <xf numFmtId="0" fontId="1" fillId="2" borderId="20" xfId="1" applyBorder="1" applyAlignment="1" applyProtection="1">
      <alignment horizontal="center"/>
      <protection locked="0"/>
    </xf>
    <xf numFmtId="0" fontId="10" fillId="2" borderId="2" xfId="1" applyFont="1" applyBorder="1" applyAlignment="1">
      <alignment horizontal="center"/>
    </xf>
    <xf numFmtId="0" fontId="8" fillId="3" borderId="65" xfId="2" applyFont="1" applyBorder="1" applyAlignment="1">
      <alignment horizontal="center"/>
    </xf>
    <xf numFmtId="0" fontId="8" fillId="3" borderId="66" xfId="2" applyFont="1" applyBorder="1" applyAlignment="1">
      <alignment horizontal="center"/>
    </xf>
    <xf numFmtId="0" fontId="5" fillId="3" borderId="24" xfId="2" applyFont="1" applyBorder="1"/>
    <xf numFmtId="0" fontId="5" fillId="3" borderId="68" xfId="2" applyFont="1" applyBorder="1" applyAlignment="1" applyProtection="1">
      <alignment horizontal="center"/>
    </xf>
    <xf numFmtId="0" fontId="0" fillId="0" borderId="15" xfId="0" applyBorder="1" applyAlignment="1">
      <alignment horizontal="center"/>
    </xf>
    <xf numFmtId="0" fontId="3" fillId="3" borderId="2" xfId="2" applyFont="1" applyBorder="1" applyAlignment="1" applyProtection="1">
      <alignment horizontal="center"/>
    </xf>
    <xf numFmtId="0" fontId="1" fillId="3" borderId="2" xfId="2" applyFont="1" applyBorder="1" applyProtection="1"/>
    <xf numFmtId="14" fontId="1" fillId="2" borderId="59" xfId="1" applyNumberFormat="1" applyBorder="1" applyAlignment="1" applyProtection="1">
      <alignment horizontal="center"/>
    </xf>
    <xf numFmtId="0" fontId="0" fillId="0" borderId="32" xfId="0" applyBorder="1"/>
    <xf numFmtId="0" fontId="0" fillId="0" borderId="0" xfId="0" applyFill="1" applyBorder="1"/>
    <xf numFmtId="14" fontId="1" fillId="2" borderId="10" xfId="1" applyNumberFormat="1" applyBorder="1" applyAlignment="1" applyProtection="1">
      <alignment horizontal="center"/>
      <protection locked="0"/>
    </xf>
    <xf numFmtId="176" fontId="0" fillId="0" borderId="12" xfId="0" applyNumberFormat="1" applyFont="1" applyBorder="1" applyAlignment="1" applyProtection="1">
      <alignment horizontal="center"/>
    </xf>
    <xf numFmtId="0" fontId="2" fillId="0" borderId="0" xfId="2" applyFont="1" applyFill="1" applyBorder="1" applyAlignment="1">
      <alignment horizontal="center"/>
    </xf>
    <xf numFmtId="0" fontId="1" fillId="0" borderId="0" xfId="1" applyFill="1" applyBorder="1" applyAlignment="1" applyProtection="1">
      <alignment horizontal="center"/>
      <protection locked="0"/>
    </xf>
    <xf numFmtId="14" fontId="0" fillId="0" borderId="2" xfId="0" quotePrefix="1" applyNumberFormat="1" applyBorder="1" applyAlignment="1">
      <alignment horizontal="center"/>
    </xf>
    <xf numFmtId="0" fontId="4" fillId="0" borderId="24" xfId="0" applyFont="1" applyBorder="1" applyAlignment="1">
      <alignment horizontal="left"/>
    </xf>
    <xf numFmtId="0" fontId="10" fillId="4" borderId="17" xfId="3" applyFont="1" applyBorder="1"/>
    <xf numFmtId="0" fontId="0" fillId="0" borderId="0" xfId="0" applyNumberFormat="1" applyBorder="1"/>
    <xf numFmtId="0" fontId="0" fillId="0" borderId="0" xfId="4" applyNumberFormat="1" applyFont="1" applyBorder="1"/>
    <xf numFmtId="0" fontId="4" fillId="0" borderId="0" xfId="0" applyNumberFormat="1" applyFont="1" applyBorder="1" applyAlignment="1">
      <alignment horizontal="left"/>
    </xf>
    <xf numFmtId="0" fontId="0" fillId="0" borderId="0" xfId="0" applyNumberFormat="1" applyBorder="1" applyAlignment="1">
      <alignment horizontal="center"/>
    </xf>
    <xf numFmtId="0" fontId="0" fillId="0" borderId="0" xfId="4" applyNumberFormat="1" applyFont="1" applyBorder="1" applyAlignment="1">
      <alignment horizontal="center"/>
    </xf>
    <xf numFmtId="0" fontId="2" fillId="3" borderId="69" xfId="2" applyFont="1" applyBorder="1" applyAlignment="1" applyProtection="1">
      <alignment horizontal="center"/>
    </xf>
    <xf numFmtId="0" fontId="0" fillId="0" borderId="47" xfId="0" applyFill="1" applyBorder="1" applyAlignment="1" applyProtection="1">
      <alignment horizontal="center"/>
    </xf>
    <xf numFmtId="0" fontId="1" fillId="2" borderId="1" xfId="1" applyAlignment="1" applyProtection="1">
      <alignment horizontal="center"/>
    </xf>
    <xf numFmtId="0" fontId="3" fillId="3" borderId="15" xfId="2" applyFont="1" applyBorder="1" applyAlignment="1" applyProtection="1">
      <alignment horizontal="center"/>
    </xf>
    <xf numFmtId="0" fontId="0" fillId="3" borderId="2" xfId="2" applyFont="1" applyBorder="1" applyAlignment="1" applyProtection="1">
      <alignment horizontal="center"/>
    </xf>
    <xf numFmtId="0" fontId="0" fillId="0" borderId="12" xfId="0" applyBorder="1" applyAlignment="1">
      <alignment horizontal="center"/>
    </xf>
    <xf numFmtId="0" fontId="0" fillId="3" borderId="2" xfId="2" applyFont="1" applyBorder="1" applyProtection="1"/>
    <xf numFmtId="0" fontId="2" fillId="3" borderId="5" xfId="2" applyFont="1" applyBorder="1" applyAlignment="1">
      <alignment horizontal="center"/>
    </xf>
    <xf numFmtId="0" fontId="2" fillId="3" borderId="3" xfId="2" applyFont="1" applyBorder="1" applyAlignment="1">
      <alignment horizontal="center"/>
    </xf>
    <xf numFmtId="0" fontId="8" fillId="3" borderId="7" xfId="2" applyFont="1" applyBorder="1" applyAlignment="1">
      <alignment horizontal="center"/>
    </xf>
    <xf numFmtId="178" fontId="0" fillId="0" borderId="4" xfId="0" applyNumberFormat="1" applyBorder="1" applyAlignment="1">
      <alignment horizontal="center"/>
    </xf>
    <xf numFmtId="0" fontId="8" fillId="3" borderId="8" xfId="2" applyFont="1" applyBorder="1" applyAlignment="1">
      <alignment horizontal="center"/>
    </xf>
    <xf numFmtId="178" fontId="0" fillId="0" borderId="9" xfId="0" applyNumberFormat="1" applyBorder="1" applyAlignment="1">
      <alignment horizontal="center"/>
    </xf>
    <xf numFmtId="178" fontId="0" fillId="0" borderId="10" xfId="0" applyNumberFormat="1" applyBorder="1" applyAlignment="1">
      <alignment horizontal="center"/>
    </xf>
    <xf numFmtId="176" fontId="0" fillId="0" borderId="2" xfId="0" applyNumberFormat="1" applyFill="1" applyBorder="1" applyAlignment="1">
      <alignment horizontal="center"/>
    </xf>
    <xf numFmtId="0" fontId="3" fillId="4" borderId="3" xfId="3" applyFont="1" applyBorder="1" applyAlignment="1">
      <alignment horizontal="center"/>
    </xf>
    <xf numFmtId="0" fontId="11" fillId="4" borderId="7" xfId="3" applyFont="1" applyBorder="1" applyAlignment="1">
      <alignment horizontal="center"/>
    </xf>
    <xf numFmtId="0" fontId="3" fillId="4" borderId="14" xfId="3" applyFont="1" applyBorder="1" applyAlignment="1">
      <alignment horizontal="center"/>
    </xf>
    <xf numFmtId="177" fontId="0" fillId="0" borderId="15" xfId="0" applyNumberFormat="1" applyBorder="1" applyAlignment="1">
      <alignment horizontal="center"/>
    </xf>
    <xf numFmtId="0" fontId="0" fillId="0" borderId="38" xfId="0" applyBorder="1" applyAlignment="1">
      <alignment horizontal="center"/>
    </xf>
    <xf numFmtId="0" fontId="11" fillId="4" borderId="8" xfId="3" applyFont="1" applyBorder="1" applyAlignment="1">
      <alignment horizontal="center"/>
    </xf>
    <xf numFmtId="0" fontId="14" fillId="6" borderId="0" xfId="5"/>
    <xf numFmtId="0" fontId="0" fillId="0" borderId="0" xfId="0" applyNumberFormat="1" applyFill="1" applyBorder="1" applyAlignment="1">
      <alignment horizontal="center"/>
    </xf>
    <xf numFmtId="178" fontId="0" fillId="0" borderId="0" xfId="0" applyNumberFormat="1" applyAlignment="1">
      <alignment horizontal="center"/>
    </xf>
    <xf numFmtId="0" fontId="4" fillId="3" borderId="17" xfId="2" applyFont="1" applyBorder="1" applyAlignment="1" applyProtection="1">
      <alignment horizontal="center"/>
    </xf>
    <xf numFmtId="0" fontId="1" fillId="2" borderId="20" xfId="1" applyFont="1" applyBorder="1" applyProtection="1"/>
    <xf numFmtId="176" fontId="0" fillId="0" borderId="20" xfId="0" applyNumberFormat="1" applyFont="1" applyBorder="1" applyAlignment="1" applyProtection="1">
      <alignment horizontal="center"/>
    </xf>
    <xf numFmtId="14" fontId="0" fillId="0" borderId="4" xfId="0" applyNumberFormat="1" applyBorder="1" applyAlignment="1">
      <alignment horizontal="center"/>
    </xf>
    <xf numFmtId="0" fontId="0" fillId="0" borderId="20" xfId="0" applyFill="1" applyBorder="1" applyAlignment="1" applyProtection="1">
      <alignment horizontal="center"/>
    </xf>
    <xf numFmtId="0" fontId="3" fillId="3" borderId="40" xfId="2" applyFont="1" applyBorder="1" applyAlignment="1">
      <alignment horizontal="center"/>
    </xf>
    <xf numFmtId="0" fontId="0" fillId="0" borderId="40" xfId="0" applyBorder="1" applyAlignment="1">
      <alignment horizontal="center"/>
    </xf>
    <xf numFmtId="0" fontId="2" fillId="0" borderId="24" xfId="0" applyFont="1" applyBorder="1" applyAlignment="1">
      <alignment horizontal="center"/>
    </xf>
    <xf numFmtId="178" fontId="0" fillId="0" borderId="4" xfId="0" applyNumberFormat="1" applyBorder="1" applyAlignment="1" applyProtection="1">
      <alignment horizontal="center"/>
    </xf>
    <xf numFmtId="0" fontId="5" fillId="3" borderId="7" xfId="2" applyFont="1" applyBorder="1" applyAlignment="1" applyProtection="1">
      <alignment horizontal="center"/>
    </xf>
    <xf numFmtId="0" fontId="0" fillId="3" borderId="4" xfId="2" applyFont="1" applyBorder="1" applyAlignment="1">
      <alignment horizontal="center"/>
    </xf>
    <xf numFmtId="178" fontId="0" fillId="0" borderId="29" xfId="0" applyNumberFormat="1" applyBorder="1" applyAlignment="1" applyProtection="1">
      <alignment horizontal="center"/>
    </xf>
    <xf numFmtId="178" fontId="0" fillId="0" borderId="4" xfId="0" applyNumberFormat="1" applyFont="1" applyBorder="1" applyAlignment="1" applyProtection="1">
      <alignment horizontal="center"/>
    </xf>
    <xf numFmtId="178" fontId="0" fillId="0" borderId="29" xfId="0" applyNumberFormat="1" applyFont="1" applyBorder="1" applyAlignment="1" applyProtection="1">
      <alignment horizontal="center"/>
    </xf>
    <xf numFmtId="0" fontId="0" fillId="0" borderId="20" xfId="0" applyBorder="1"/>
    <xf numFmtId="176" fontId="0" fillId="0" borderId="47" xfId="0" applyNumberFormat="1" applyFont="1" applyBorder="1" applyAlignment="1" applyProtection="1">
      <alignment horizontal="center"/>
    </xf>
    <xf numFmtId="176" fontId="0" fillId="0" borderId="4" xfId="0" applyNumberFormat="1" applyBorder="1" applyAlignment="1" applyProtection="1">
      <alignment horizontal="center"/>
    </xf>
    <xf numFmtId="176" fontId="0" fillId="0" borderId="29" xfId="0" applyNumberFormat="1" applyBorder="1" applyAlignment="1" applyProtection="1">
      <alignment horizontal="center"/>
    </xf>
    <xf numFmtId="177" fontId="2" fillId="0" borderId="40" xfId="0" applyNumberFormat="1" applyFont="1" applyBorder="1" applyAlignment="1" applyProtection="1">
      <alignment horizontal="center"/>
    </xf>
    <xf numFmtId="177" fontId="2" fillId="0" borderId="41" xfId="0" applyNumberFormat="1" applyFont="1" applyBorder="1" applyAlignment="1" applyProtection="1">
      <alignment horizontal="center"/>
    </xf>
    <xf numFmtId="177" fontId="2" fillId="0" borderId="40" xfId="0" applyNumberFormat="1" applyFont="1" applyBorder="1" applyAlignment="1">
      <alignment horizontal="center"/>
    </xf>
    <xf numFmtId="177" fontId="2" fillId="0" borderId="41" xfId="0" applyNumberFormat="1" applyFont="1" applyBorder="1" applyAlignment="1">
      <alignment horizontal="center"/>
    </xf>
    <xf numFmtId="0" fontId="2" fillId="3" borderId="36" xfId="2" applyFont="1" applyBorder="1" applyAlignment="1" applyProtection="1">
      <alignment horizontal="center"/>
    </xf>
    <xf numFmtId="0" fontId="2" fillId="3" borderId="4" xfId="2" applyFont="1" applyBorder="1" applyAlignment="1">
      <alignment horizontal="center"/>
    </xf>
    <xf numFmtId="0" fontId="0" fillId="0" borderId="4" xfId="0" applyFill="1" applyBorder="1" applyAlignment="1" applyProtection="1">
      <alignment horizontal="center"/>
    </xf>
    <xf numFmtId="0" fontId="0" fillId="0" borderId="10" xfId="0" applyFill="1" applyBorder="1" applyAlignment="1" applyProtection="1">
      <alignment horizontal="center"/>
    </xf>
    <xf numFmtId="0" fontId="0" fillId="3" borderId="6" xfId="2" applyFont="1" applyBorder="1" applyAlignment="1" applyProtection="1">
      <alignment horizontal="center"/>
    </xf>
    <xf numFmtId="0" fontId="3" fillId="3" borderId="14" xfId="2" applyFont="1" applyBorder="1" applyAlignment="1" applyProtection="1">
      <alignment horizontal="center"/>
    </xf>
    <xf numFmtId="0" fontId="3" fillId="3" borderId="7" xfId="2" applyFont="1" applyBorder="1" applyAlignment="1" applyProtection="1">
      <alignment horizontal="center"/>
    </xf>
    <xf numFmtId="14" fontId="0" fillId="0" borderId="4" xfId="0" quotePrefix="1" applyNumberFormat="1" applyBorder="1" applyAlignment="1">
      <alignment horizontal="center"/>
    </xf>
    <xf numFmtId="0" fontId="3" fillId="3" borderId="8" xfId="2" applyFont="1" applyBorder="1" applyAlignment="1" applyProtection="1">
      <alignment horizontal="center"/>
    </xf>
    <xf numFmtId="0" fontId="0" fillId="0" borderId="70" xfId="0" applyBorder="1" applyAlignment="1">
      <alignment horizontal="center"/>
    </xf>
    <xf numFmtId="0" fontId="2" fillId="3" borderId="4" xfId="2" applyFont="1" applyBorder="1" applyAlignment="1" applyProtection="1">
      <alignment horizontal="center"/>
    </xf>
    <xf numFmtId="0" fontId="15" fillId="0" borderId="0" xfId="0" applyFont="1" applyBorder="1" applyAlignment="1">
      <alignment horizontal="center"/>
    </xf>
    <xf numFmtId="0" fontId="15" fillId="0" borderId="0" xfId="0" applyFont="1" applyBorder="1"/>
    <xf numFmtId="0" fontId="16" fillId="0" borderId="0" xfId="0" applyFont="1" applyBorder="1" applyAlignment="1">
      <alignment horizontal="center"/>
    </xf>
    <xf numFmtId="0" fontId="4" fillId="3" borderId="58" xfId="2" applyFont="1" applyBorder="1" applyAlignment="1" applyProtection="1"/>
    <xf numFmtId="0" fontId="4" fillId="3" borderId="58" xfId="2" applyFont="1" applyBorder="1" applyAlignment="1" applyProtection="1">
      <alignment horizontal="center"/>
    </xf>
    <xf numFmtId="0" fontId="4" fillId="3" borderId="60" xfId="2" applyFont="1" applyBorder="1" applyAlignment="1" applyProtection="1">
      <alignment horizontal="center"/>
    </xf>
    <xf numFmtId="0" fontId="4" fillId="3" borderId="48" xfId="2" applyFont="1" applyBorder="1" applyAlignment="1" applyProtection="1">
      <alignment horizontal="center"/>
    </xf>
    <xf numFmtId="0" fontId="4" fillId="0" borderId="58" xfId="0" applyFont="1" applyBorder="1" applyAlignment="1">
      <alignment horizontal="left"/>
    </xf>
    <xf numFmtId="0" fontId="4" fillId="0" borderId="60" xfId="0" applyFont="1" applyBorder="1" applyAlignment="1">
      <alignment horizontal="left"/>
    </xf>
    <xf numFmtId="0" fontId="4" fillId="0" borderId="42" xfId="0" applyFont="1" applyBorder="1" applyAlignment="1">
      <alignment horizontal="left"/>
    </xf>
    <xf numFmtId="0" fontId="15" fillId="0" borderId="0" xfId="0" applyFont="1" applyBorder="1" applyAlignment="1">
      <alignment horizontal="center"/>
    </xf>
  </cellXfs>
  <cellStyles count="6">
    <cellStyle name="Style 1" xfId="2"/>
    <cellStyle name="百分比" xfId="4" builtinId="5"/>
    <cellStyle name="常规" xfId="0" builtinId="0"/>
    <cellStyle name="好" xfId="3" builtinId="26"/>
    <cellStyle name="适中" xfId="5" builtinId="28"/>
    <cellStyle name="输入" xfId="1" builtinId="2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762000</xdr:colOff>
          <xdr:row>30</xdr:row>
          <xdr:rowOff>9525</xdr:rowOff>
        </xdr:from>
        <xdr:to>
          <xdr:col>16</xdr:col>
          <xdr:colOff>2124075</xdr:colOff>
          <xdr:row>33</xdr:row>
          <xdr:rowOff>76200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2714625</xdr:colOff>
          <xdr:row>30</xdr:row>
          <xdr:rowOff>0</xdr:rowOff>
        </xdr:from>
        <xdr:to>
          <xdr:col>15</xdr:col>
          <xdr:colOff>1095375</xdr:colOff>
          <xdr:row>33</xdr:row>
          <xdr:rowOff>19050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Modify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238125</xdr:colOff>
          <xdr:row>30</xdr:row>
          <xdr:rowOff>9525</xdr:rowOff>
        </xdr:from>
        <xdr:to>
          <xdr:col>14</xdr:col>
          <xdr:colOff>1600200</xdr:colOff>
          <xdr:row>33</xdr:row>
          <xdr:rowOff>104775</xdr:rowOff>
        </xdr:to>
        <xdr:sp macro="" textlink="">
          <xdr:nvSpPr>
            <xdr:cNvPr id="1045" name="Button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Hide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J159"/>
  <sheetViews>
    <sheetView tabSelected="1" topLeftCell="A138" zoomScaleNormal="100" zoomScaleSheetLayoutView="80" workbookViewId="0">
      <selection activeCell="B145" sqref="B145"/>
    </sheetView>
  </sheetViews>
  <sheetFormatPr defaultColWidth="9.125" defaultRowHeight="14.25" outlineLevelCol="1"/>
  <cols>
    <col min="1" max="1" width="52.625" customWidth="1" outlineLevel="1"/>
    <col min="2" max="2" width="39.625" bestFit="1" customWidth="1"/>
    <col min="3" max="3" width="35.125" bestFit="1" customWidth="1"/>
    <col min="4" max="4" width="23.625" bestFit="1" customWidth="1"/>
    <col min="5" max="5" width="28.375" customWidth="1"/>
    <col min="6" max="6" width="18.75" customWidth="1"/>
    <col min="7" max="7" width="18.375" customWidth="1"/>
    <col min="8" max="8" width="19.375" customWidth="1"/>
    <col min="9" max="9" width="17.125" customWidth="1"/>
    <col min="10" max="10" width="25.375" customWidth="1"/>
    <col min="11" max="11" width="26.25" customWidth="1"/>
    <col min="12" max="12" width="12.75" customWidth="1"/>
    <col min="13" max="13" width="17.25" customWidth="1"/>
    <col min="14" max="14" width="19.375" bestFit="1" customWidth="1"/>
    <col min="15" max="15" width="47.25" bestFit="1" customWidth="1"/>
    <col min="16" max="16" width="18.625" bestFit="1" customWidth="1"/>
    <col min="17" max="17" width="40.125" bestFit="1" customWidth="1"/>
    <col min="18" max="18" width="37" bestFit="1" customWidth="1"/>
    <col min="19" max="19" width="20.375" bestFit="1" customWidth="1"/>
    <col min="20" max="20" width="40.125" customWidth="1"/>
    <col min="21" max="21" width="30.875" customWidth="1"/>
    <col min="22" max="22" width="40.125" customWidth="1"/>
    <col min="23" max="23" width="20" customWidth="1"/>
    <col min="24" max="24" width="22.875" customWidth="1"/>
    <col min="25" max="25" width="33.25" customWidth="1"/>
    <col min="26" max="26" width="16.75" customWidth="1"/>
    <col min="27" max="27" width="18.25" customWidth="1"/>
    <col min="28" max="28" width="8.875"/>
    <col min="29" max="29" width="31.25" bestFit="1" customWidth="1"/>
    <col min="30" max="30" width="8.875" bestFit="1" customWidth="1"/>
    <col min="31" max="31" width="28.75" customWidth="1"/>
    <col min="32" max="32" width="10" customWidth="1"/>
    <col min="33" max="33" width="13.625" bestFit="1" customWidth="1"/>
    <col min="34" max="34" width="23.375" bestFit="1" customWidth="1"/>
    <col min="35" max="35" width="13" customWidth="1"/>
    <col min="36" max="36" width="5.625" bestFit="1" customWidth="1"/>
  </cols>
  <sheetData>
    <row r="1" spans="1:36" ht="33">
      <c r="A1" s="3" t="s">
        <v>175</v>
      </c>
    </row>
    <row r="2" spans="1:36" ht="21" thickBot="1">
      <c r="A2" s="19" t="s">
        <v>94</v>
      </c>
    </row>
    <row r="3" spans="1:36" ht="21" thickBot="1">
      <c r="A3" s="20" t="s">
        <v>9</v>
      </c>
      <c r="B3" s="302" t="s">
        <v>242</v>
      </c>
      <c r="C3" s="304"/>
      <c r="D3" s="305"/>
      <c r="E3" s="306"/>
      <c r="F3" s="307"/>
      <c r="G3" s="308"/>
      <c r="H3" s="306"/>
      <c r="I3" s="307"/>
      <c r="J3" s="308"/>
      <c r="K3" s="4"/>
      <c r="L3" s="4"/>
      <c r="M3" s="4"/>
    </row>
    <row r="4" spans="1:36" ht="21" thickBot="1">
      <c r="A4" s="82" t="s">
        <v>34</v>
      </c>
      <c r="B4" s="83" t="s">
        <v>0</v>
      </c>
      <c r="C4" s="84" t="s">
        <v>1</v>
      </c>
      <c r="D4" s="85" t="s">
        <v>2</v>
      </c>
      <c r="E4" s="83" t="s">
        <v>3</v>
      </c>
      <c r="F4" s="83" t="s">
        <v>41</v>
      </c>
      <c r="G4" s="83" t="s">
        <v>4</v>
      </c>
      <c r="H4" s="83" t="s">
        <v>221</v>
      </c>
      <c r="I4" s="83" t="s">
        <v>53</v>
      </c>
      <c r="J4" s="83" t="s">
        <v>7</v>
      </c>
      <c r="K4" s="83" t="s">
        <v>130</v>
      </c>
      <c r="L4" s="83" t="s">
        <v>8</v>
      </c>
      <c r="M4" s="86" t="s">
        <v>61</v>
      </c>
      <c r="O4" s="149" t="s">
        <v>40</v>
      </c>
      <c r="P4" s="150" t="s">
        <v>23</v>
      </c>
      <c r="Q4" s="174" t="s">
        <v>24</v>
      </c>
      <c r="R4" s="151" t="s">
        <v>2</v>
      </c>
      <c r="S4" s="150" t="s">
        <v>3</v>
      </c>
      <c r="T4" s="150" t="s">
        <v>41</v>
      </c>
      <c r="U4" s="150" t="s">
        <v>4</v>
      </c>
      <c r="V4" s="150" t="s">
        <v>5</v>
      </c>
      <c r="W4" s="150" t="s">
        <v>6</v>
      </c>
      <c r="X4" s="150" t="s">
        <v>7</v>
      </c>
      <c r="Y4" s="83" t="s">
        <v>130</v>
      </c>
      <c r="Z4" s="174" t="s">
        <v>8</v>
      </c>
      <c r="AA4" s="15" t="s">
        <v>61</v>
      </c>
      <c r="AC4" s="149" t="s">
        <v>182</v>
      </c>
      <c r="AD4" s="150" t="s">
        <v>2</v>
      </c>
      <c r="AE4" s="150" t="s">
        <v>4</v>
      </c>
      <c r="AF4" s="150" t="s">
        <v>53</v>
      </c>
      <c r="AG4" s="150" t="s">
        <v>7</v>
      </c>
      <c r="AH4" s="150" t="s">
        <v>165</v>
      </c>
      <c r="AI4" s="150" t="s">
        <v>8</v>
      </c>
      <c r="AJ4" s="7" t="s">
        <v>61</v>
      </c>
    </row>
    <row r="5" spans="1:36">
      <c r="A5" s="87" t="s">
        <v>84</v>
      </c>
      <c r="B5" s="88"/>
      <c r="C5" s="89"/>
      <c r="D5" s="90">
        <f>B5*C5</f>
        <v>0</v>
      </c>
      <c r="E5" s="91" t="s">
        <v>19</v>
      </c>
      <c r="F5" s="92">
        <f>IF(B3="3-Panel",0.7,$B$125)</f>
        <v>0.45</v>
      </c>
      <c r="G5" s="92" t="e">
        <f ca="1">SWITCH(B3,$A$154,$F$154,$A$155,$F$155,$A$156,$F$156,$A$157,$F$157,$A$158,$F$158,$A$159,$F$159,$K$104,0)</f>
        <v>#NAME?</v>
      </c>
      <c r="H5" s="92" t="e">
        <f ca="1">F5+G5</f>
        <v>#NAME?</v>
      </c>
      <c r="I5" s="92" t="e">
        <f ca="1">H5*D5</f>
        <v>#NAME?</v>
      </c>
      <c r="J5" s="93" t="e">
        <f ca="1">IF(P20="Distributor",H5*F114,H5*F113)</f>
        <v>#NAME?</v>
      </c>
      <c r="K5" s="93" t="e">
        <f ca="1">J5*D5</f>
        <v>#NAME?</v>
      </c>
      <c r="L5" s="94" t="e">
        <f ca="1">IF(K5=0,0,(K5-I5)/K5)</f>
        <v>#NAME?</v>
      </c>
      <c r="M5" s="167"/>
      <c r="O5" s="153" t="s">
        <v>99</v>
      </c>
      <c r="P5" s="122">
        <v>1</v>
      </c>
      <c r="Q5" s="175">
        <f>(Install_Time(B5,C5,D8,C6,B6,D9,D14,D11,D13)+Install_Time(B25,C25,D28,C26,B26,D29,D34,D31,D33)+Install_Time(B45,C45,D48,C46,B46,D49,D53,D51,D57)+Install_Time(B65,C65,D68,C66,B66,D69,D72,D71,D77)+Install_Time(B85,C85,D88,C86,B86,D89,D92,D91,D97)+AD8*C118)/(IF(P6=0,1,POWER(1.8,P6)))</f>
        <v>0</v>
      </c>
      <c r="R5" s="116">
        <f>Q5</f>
        <v>0</v>
      </c>
      <c r="S5" s="117" t="s">
        <v>28</v>
      </c>
      <c r="T5" s="120">
        <f t="shared" ref="T5:U10" si="0">B139</f>
        <v>30</v>
      </c>
      <c r="U5" s="120">
        <f t="shared" si="0"/>
        <v>0</v>
      </c>
      <c r="V5" s="120">
        <f t="shared" ref="V5:V10" si="1">T5+U5</f>
        <v>30</v>
      </c>
      <c r="W5" s="120">
        <f>V5*R5</f>
        <v>0</v>
      </c>
      <c r="X5" s="93">
        <f t="shared" ref="X5:X10" si="2">IF($P$20="Distributor",V5*$F$114,V5*$F$113)</f>
        <v>60</v>
      </c>
      <c r="Y5" s="120">
        <f>X5*R5</f>
        <v>0</v>
      </c>
      <c r="Z5" s="94">
        <f>IF(Y5=0,0,(Y5-W5)/Y5)</f>
        <v>0</v>
      </c>
      <c r="AA5" s="16"/>
      <c r="AC5" s="153" t="s">
        <v>158</v>
      </c>
      <c r="AD5" s="206"/>
      <c r="AE5" s="118">
        <f>D146</f>
        <v>25</v>
      </c>
      <c r="AF5" s="118">
        <f>AD5*AE5</f>
        <v>0</v>
      </c>
      <c r="AG5" s="207">
        <f>IF($P$20="Distributor",AE5*$F$114,AE5*$F$113)</f>
        <v>50</v>
      </c>
      <c r="AH5" s="207">
        <f>AG5*AD5</f>
        <v>0</v>
      </c>
      <c r="AI5" s="208">
        <f>IF(AD5=0,0,(AH5-AF5)/AH5)</f>
        <v>0</v>
      </c>
      <c r="AJ5" s="73"/>
    </row>
    <row r="6" spans="1:36" ht="15" thickBot="1">
      <c r="A6" s="95" t="s">
        <v>10</v>
      </c>
      <c r="B6" s="96"/>
      <c r="C6" s="97"/>
      <c r="D6" s="98">
        <f t="shared" ref="D6" si="3">B6*C6</f>
        <v>0</v>
      </c>
      <c r="E6" s="99" t="s">
        <v>19</v>
      </c>
      <c r="F6" s="100">
        <f>F5</f>
        <v>0.45</v>
      </c>
      <c r="G6" s="100" t="e">
        <f ca="1">G5</f>
        <v>#NAME?</v>
      </c>
      <c r="H6" s="101" t="e">
        <f t="shared" ref="H6" ca="1" si="4">F6+G6</f>
        <v>#NAME?</v>
      </c>
      <c r="I6" s="101" t="e">
        <f ca="1">H6*D6</f>
        <v>#NAME?</v>
      </c>
      <c r="J6" s="102" t="e">
        <f ca="1">IF(P20="Distributor",H6*F114,H6*F113)</f>
        <v>#NAME?</v>
      </c>
      <c r="K6" s="103" t="e">
        <f ca="1">J6*D6</f>
        <v>#NAME?</v>
      </c>
      <c r="L6" s="104" t="e">
        <f ca="1">IF(K6=0,0,(K6-I6)/K6)</f>
        <v>#NAME?</v>
      </c>
      <c r="M6" s="168"/>
      <c r="O6" s="153" t="s">
        <v>98</v>
      </c>
      <c r="P6" s="115">
        <v>0</v>
      </c>
      <c r="Q6" s="175">
        <f>Q5</f>
        <v>0</v>
      </c>
      <c r="R6" s="116">
        <f>Q6</f>
        <v>0</v>
      </c>
      <c r="S6" s="117" t="s">
        <v>28</v>
      </c>
      <c r="T6" s="120">
        <f t="shared" si="0"/>
        <v>20</v>
      </c>
      <c r="U6" s="120">
        <f t="shared" si="0"/>
        <v>0</v>
      </c>
      <c r="V6" s="120">
        <f t="shared" si="1"/>
        <v>20</v>
      </c>
      <c r="W6" s="120">
        <f>V6*R6</f>
        <v>0</v>
      </c>
      <c r="X6" s="93">
        <f t="shared" si="2"/>
        <v>40</v>
      </c>
      <c r="Y6" s="120">
        <f t="shared" ref="Y6:Y10" si="5">X6*R6</f>
        <v>0</v>
      </c>
      <c r="Z6" s="94">
        <f t="shared" ref="Z6:Z13" si="6">IF(Y6=0,0,(Y6-W6)/Y6)</f>
        <v>0</v>
      </c>
      <c r="AA6" s="13"/>
      <c r="AC6" s="153" t="s">
        <v>162</v>
      </c>
      <c r="AD6" s="206"/>
      <c r="AE6" s="118">
        <f>D147</f>
        <v>80</v>
      </c>
      <c r="AF6" s="118">
        <f t="shared" ref="AF6:AF8" si="7">AD6*AE6</f>
        <v>0</v>
      </c>
      <c r="AG6" s="207">
        <f>IF($P$20="Distributor",AE6*$F$114,AE6*$F$113)</f>
        <v>160</v>
      </c>
      <c r="AH6" s="207">
        <f t="shared" ref="AH6:AH7" si="8">AG6*AD6</f>
        <v>0</v>
      </c>
      <c r="AI6" s="208">
        <f t="shared" ref="AI6:AI7" si="9">IF(AD6=0,0,(AH6-AF6)/AH6)</f>
        <v>0</v>
      </c>
      <c r="AJ6" s="73"/>
    </row>
    <row r="7" spans="1:36" ht="21" thickBot="1">
      <c r="A7" s="82" t="s">
        <v>35</v>
      </c>
      <c r="B7" s="85" t="s">
        <v>22</v>
      </c>
      <c r="C7" s="85" t="s">
        <v>22</v>
      </c>
      <c r="D7" s="85" t="s">
        <v>22</v>
      </c>
      <c r="E7" s="83" t="s">
        <v>22</v>
      </c>
      <c r="F7" s="83" t="s">
        <v>22</v>
      </c>
      <c r="G7" s="83" t="s">
        <v>22</v>
      </c>
      <c r="H7" s="83" t="s">
        <v>22</v>
      </c>
      <c r="I7" s="83" t="s">
        <v>22</v>
      </c>
      <c r="J7" s="83" t="s">
        <v>22</v>
      </c>
      <c r="K7" s="83" t="s">
        <v>22</v>
      </c>
      <c r="L7" s="83" t="s">
        <v>22</v>
      </c>
      <c r="M7" s="84" t="s">
        <v>22</v>
      </c>
      <c r="O7" s="114" t="s">
        <v>142</v>
      </c>
      <c r="P7" s="122" t="s">
        <v>89</v>
      </c>
      <c r="Q7" s="176"/>
      <c r="R7" s="116">
        <f t="shared" ref="R7:R13" si="10">Q7</f>
        <v>0</v>
      </c>
      <c r="S7" s="117" t="s">
        <v>29</v>
      </c>
      <c r="T7" s="120">
        <f t="shared" si="0"/>
        <v>0.52</v>
      </c>
      <c r="U7" s="120">
        <f t="shared" si="0"/>
        <v>0</v>
      </c>
      <c r="V7" s="120">
        <f t="shared" si="1"/>
        <v>0.52</v>
      </c>
      <c r="W7" s="120">
        <f t="shared" ref="W7" si="11">V7*R7</f>
        <v>0</v>
      </c>
      <c r="X7" s="93">
        <f t="shared" si="2"/>
        <v>1.04</v>
      </c>
      <c r="Y7" s="120">
        <f t="shared" si="5"/>
        <v>0</v>
      </c>
      <c r="Z7" s="94">
        <f t="shared" si="6"/>
        <v>0</v>
      </c>
      <c r="AA7" s="63"/>
      <c r="AC7" s="153" t="s">
        <v>163</v>
      </c>
      <c r="AD7" s="206"/>
      <c r="AE7" s="118">
        <f>D148</f>
        <v>30</v>
      </c>
      <c r="AF7" s="118">
        <f t="shared" si="7"/>
        <v>0</v>
      </c>
      <c r="AG7" s="207">
        <f>IF($P$20="Distributor",AE7*$F$114,AE7*$F$113)</f>
        <v>60</v>
      </c>
      <c r="AH7" s="207">
        <f t="shared" si="8"/>
        <v>0</v>
      </c>
      <c r="AI7" s="208">
        <f t="shared" si="9"/>
        <v>0</v>
      </c>
      <c r="AJ7" s="73"/>
    </row>
    <row r="8" spans="1:36">
      <c r="A8" s="105" t="s">
        <v>90</v>
      </c>
      <c r="B8" s="106"/>
      <c r="C8" s="107" t="s">
        <v>89</v>
      </c>
      <c r="D8" s="108">
        <f>B8</f>
        <v>0</v>
      </c>
      <c r="E8" s="107" t="s">
        <v>42</v>
      </c>
      <c r="F8" s="109">
        <f t="shared" ref="F8:G11" si="12">B127</f>
        <v>30</v>
      </c>
      <c r="G8" s="109">
        <f t="shared" si="12"/>
        <v>0</v>
      </c>
      <c r="H8" s="110">
        <f>F8+G8</f>
        <v>30</v>
      </c>
      <c r="I8" s="109">
        <f>H8*B8</f>
        <v>0</v>
      </c>
      <c r="J8" s="111">
        <f t="shared" ref="J8:J17" si="13">IF(P$20="Distributor",H8*F$114,H8*F$113)</f>
        <v>60</v>
      </c>
      <c r="K8" s="112">
        <f>J8*D8</f>
        <v>0</v>
      </c>
      <c r="L8" s="113">
        <f t="shared" ref="L8:L18" si="14">IF(K8=0,0,(K8-I8)/K8)</f>
        <v>0</v>
      </c>
      <c r="M8" s="169"/>
      <c r="O8" s="114" t="s">
        <v>25</v>
      </c>
      <c r="P8" s="122" t="s">
        <v>89</v>
      </c>
      <c r="Q8" s="176"/>
      <c r="R8" s="116">
        <f t="shared" si="10"/>
        <v>0</v>
      </c>
      <c r="S8" s="117" t="s">
        <v>30</v>
      </c>
      <c r="T8" s="120">
        <f t="shared" si="0"/>
        <v>165</v>
      </c>
      <c r="U8" s="120">
        <f t="shared" si="0"/>
        <v>0</v>
      </c>
      <c r="V8" s="120">
        <f t="shared" si="1"/>
        <v>165</v>
      </c>
      <c r="W8" s="120">
        <f>V8*R8</f>
        <v>0</v>
      </c>
      <c r="X8" s="93">
        <f t="shared" si="2"/>
        <v>330</v>
      </c>
      <c r="Y8" s="120">
        <f>X8*R8</f>
        <v>0</v>
      </c>
      <c r="Z8" s="94">
        <f t="shared" si="6"/>
        <v>0</v>
      </c>
      <c r="AA8" s="13"/>
      <c r="AC8" s="95" t="s">
        <v>226</v>
      </c>
      <c r="AD8" s="334"/>
      <c r="AE8" s="335">
        <f>D131</f>
        <v>190</v>
      </c>
      <c r="AF8" s="118">
        <f t="shared" si="7"/>
        <v>0</v>
      </c>
      <c r="AG8" s="207">
        <f>IF($P$20="Distributor",AE8*$F$114,AE8*$F$113)</f>
        <v>380</v>
      </c>
      <c r="AH8" s="207">
        <f t="shared" ref="AH8" si="15">AG8*AD8</f>
        <v>0</v>
      </c>
      <c r="AI8" s="208">
        <f t="shared" ref="AI8" si="16">IF(AD8=0,0,(AH8-AF8)/AH8)</f>
        <v>0</v>
      </c>
      <c r="AJ8" s="247"/>
    </row>
    <row r="9" spans="1:36" ht="15" thickBot="1">
      <c r="A9" s="114" t="s">
        <v>16</v>
      </c>
      <c r="B9" s="115" t="s">
        <v>246</v>
      </c>
      <c r="C9" s="115" t="s">
        <v>246</v>
      </c>
      <c r="D9" s="116">
        <f>Four_Side_Validation(B9,C9)*D19</f>
        <v>0</v>
      </c>
      <c r="E9" s="117" t="s">
        <v>20</v>
      </c>
      <c r="F9" s="118">
        <f t="shared" si="12"/>
        <v>0.4</v>
      </c>
      <c r="G9" s="118">
        <f t="shared" si="12"/>
        <v>0.35</v>
      </c>
      <c r="H9" s="119">
        <f t="shared" ref="H9:H14" si="17">F9+G9</f>
        <v>0.75</v>
      </c>
      <c r="I9" s="120">
        <f>Four_Side_Velcro_Cost(B9,C9,B5,C5,H9,D19)</f>
        <v>0</v>
      </c>
      <c r="J9" s="93">
        <f t="shared" si="13"/>
        <v>1.5</v>
      </c>
      <c r="K9" s="120">
        <f>Four_Side_Velcro_Sell(B9,C9,B5,C5,J9,D19)</f>
        <v>0</v>
      </c>
      <c r="L9" s="121">
        <f t="shared" si="14"/>
        <v>0</v>
      </c>
      <c r="M9" s="170"/>
      <c r="O9" s="114" t="s">
        <v>143</v>
      </c>
      <c r="P9" s="115" t="s">
        <v>243</v>
      </c>
      <c r="Q9" s="175" t="s">
        <v>89</v>
      </c>
      <c r="R9" s="116">
        <f>IF(P9="Yes",1,0)</f>
        <v>0</v>
      </c>
      <c r="S9" s="117" t="s">
        <v>21</v>
      </c>
      <c r="T9" s="120">
        <f t="shared" si="0"/>
        <v>200</v>
      </c>
      <c r="U9" s="120">
        <f t="shared" si="0"/>
        <v>0</v>
      </c>
      <c r="V9" s="120">
        <f t="shared" si="1"/>
        <v>200</v>
      </c>
      <c r="W9" s="120">
        <f>V9*R9</f>
        <v>0</v>
      </c>
      <c r="X9" s="93">
        <f t="shared" si="2"/>
        <v>400</v>
      </c>
      <c r="Y9" s="120">
        <f t="shared" si="5"/>
        <v>0</v>
      </c>
      <c r="Z9" s="94">
        <f t="shared" si="6"/>
        <v>0</v>
      </c>
      <c r="AA9" s="13"/>
      <c r="AC9" s="154" t="s">
        <v>164</v>
      </c>
      <c r="AD9" s="209"/>
      <c r="AE9" s="210">
        <f>D149</f>
        <v>30</v>
      </c>
      <c r="AF9" s="210">
        <f>AD9*AE9</f>
        <v>0</v>
      </c>
      <c r="AG9" s="211">
        <f>IF($P$20="Distributor",AE9*$F$114,AE9*$F$113)</f>
        <v>60</v>
      </c>
      <c r="AH9" s="211">
        <f>AG9*AD9</f>
        <v>0</v>
      </c>
      <c r="AI9" s="212">
        <f>IF(AD9=0,0,(AH9-AF9)/AH9)</f>
        <v>0</v>
      </c>
      <c r="AJ9" s="213"/>
    </row>
    <row r="10" spans="1:36" ht="18.75" thickBot="1">
      <c r="A10" s="114" t="s">
        <v>17</v>
      </c>
      <c r="B10" s="115" t="s">
        <v>246</v>
      </c>
      <c r="C10" s="122" t="s">
        <v>89</v>
      </c>
      <c r="D10" s="116">
        <f>Chain_Validation(B10,C10)</f>
        <v>0</v>
      </c>
      <c r="E10" s="117" t="s">
        <v>20</v>
      </c>
      <c r="F10" s="118">
        <f t="shared" si="12"/>
        <v>0</v>
      </c>
      <c r="G10" s="118">
        <f t="shared" si="12"/>
        <v>0.63</v>
      </c>
      <c r="H10" s="119">
        <f t="shared" si="17"/>
        <v>0.63</v>
      </c>
      <c r="I10" s="120">
        <f>Chain_Cost(B10,B5,B6,H10)</f>
        <v>0</v>
      </c>
      <c r="J10" s="93">
        <f t="shared" si="13"/>
        <v>1.26</v>
      </c>
      <c r="K10" s="120">
        <f>Chain_Sell(B10,B5,B6,J10)</f>
        <v>0</v>
      </c>
      <c r="L10" s="121">
        <f t="shared" si="14"/>
        <v>0</v>
      </c>
      <c r="M10" s="170"/>
      <c r="O10" s="114" t="s">
        <v>144</v>
      </c>
      <c r="P10" s="115" t="s">
        <v>243</v>
      </c>
      <c r="Q10" s="175" t="s">
        <v>89</v>
      </c>
      <c r="R10" s="116">
        <f>IF(P10="Yes",1,0)</f>
        <v>0</v>
      </c>
      <c r="S10" s="117" t="s">
        <v>21</v>
      </c>
      <c r="T10" s="120">
        <f t="shared" si="0"/>
        <v>100</v>
      </c>
      <c r="U10" s="120">
        <f t="shared" si="0"/>
        <v>0</v>
      </c>
      <c r="V10" s="120">
        <f t="shared" si="1"/>
        <v>100</v>
      </c>
      <c r="W10" s="120">
        <f>V10*R10</f>
        <v>0</v>
      </c>
      <c r="X10" s="93">
        <f t="shared" si="2"/>
        <v>200</v>
      </c>
      <c r="Y10" s="120">
        <f t="shared" si="5"/>
        <v>0</v>
      </c>
      <c r="Z10" s="94">
        <f t="shared" si="6"/>
        <v>0</v>
      </c>
      <c r="AA10" s="13"/>
      <c r="AC10" s="180" t="s">
        <v>167</v>
      </c>
      <c r="AD10" s="131">
        <f>SUM(AH5:AH9)</f>
        <v>0</v>
      </c>
      <c r="AG10" s="132"/>
      <c r="AH10" s="132"/>
      <c r="AI10" s="132"/>
      <c r="AJ10" s="4"/>
    </row>
    <row r="11" spans="1:36">
      <c r="A11" s="114" t="s">
        <v>18</v>
      </c>
      <c r="B11" s="115" t="s">
        <v>246</v>
      </c>
      <c r="C11" s="115" t="s">
        <v>246</v>
      </c>
      <c r="D11" s="116">
        <f>Four_Side_Validation(B11,C11)</f>
        <v>0</v>
      </c>
      <c r="E11" s="117" t="s">
        <v>20</v>
      </c>
      <c r="F11" s="118">
        <f t="shared" si="12"/>
        <v>0</v>
      </c>
      <c r="G11" s="118">
        <f t="shared" si="12"/>
        <v>2.2000000000000002</v>
      </c>
      <c r="H11" s="119">
        <f t="shared" si="17"/>
        <v>2.2000000000000002</v>
      </c>
      <c r="I11" s="120">
        <f>Four_Side_Cost(B11,C11,B5,C5,H11)</f>
        <v>0</v>
      </c>
      <c r="J11" s="93">
        <f t="shared" si="13"/>
        <v>4.4000000000000004</v>
      </c>
      <c r="K11" s="120">
        <f>Four_Side_Sell(B11,C11,B5,C5,J11)</f>
        <v>0</v>
      </c>
      <c r="L11" s="121">
        <f t="shared" si="14"/>
        <v>0</v>
      </c>
      <c r="M11" s="170"/>
      <c r="O11" s="114" t="s">
        <v>26</v>
      </c>
      <c r="P11" s="122" t="s">
        <v>89</v>
      </c>
      <c r="Q11" s="175" t="s">
        <v>89</v>
      </c>
      <c r="R11" s="116" t="str">
        <f t="shared" si="10"/>
        <v>N/A</v>
      </c>
      <c r="S11" s="122" t="s">
        <v>21</v>
      </c>
      <c r="T11" s="116" t="s">
        <v>89</v>
      </c>
      <c r="U11" s="116" t="s">
        <v>89</v>
      </c>
      <c r="V11" s="116" t="s">
        <v>89</v>
      </c>
      <c r="W11" s="177"/>
      <c r="X11" s="120">
        <f>IF($P$20="Distributor",W11*$F$114,W11*$F$113)</f>
        <v>0</v>
      </c>
      <c r="Y11" s="120">
        <f>X11</f>
        <v>0</v>
      </c>
      <c r="Z11" s="94">
        <f t="shared" si="6"/>
        <v>0</v>
      </c>
      <c r="AA11" s="13"/>
      <c r="AE11" s="133"/>
      <c r="AF11" s="133"/>
      <c r="AG11" s="132"/>
      <c r="AH11" s="132"/>
      <c r="AI11" s="132"/>
      <c r="AJ11" s="4"/>
    </row>
    <row r="12" spans="1:36">
      <c r="A12" s="114" t="s">
        <v>227</v>
      </c>
      <c r="B12" s="115"/>
      <c r="C12" s="122" t="s">
        <v>89</v>
      </c>
      <c r="D12" s="116">
        <f>B12</f>
        <v>0</v>
      </c>
      <c r="E12" s="117" t="s">
        <v>21</v>
      </c>
      <c r="F12" s="118">
        <f>B132</f>
        <v>0</v>
      </c>
      <c r="G12" s="118">
        <f>C132</f>
        <v>20</v>
      </c>
      <c r="H12" s="119">
        <f t="shared" si="17"/>
        <v>20</v>
      </c>
      <c r="I12" s="120">
        <f>H12*D12</f>
        <v>0</v>
      </c>
      <c r="J12" s="93">
        <f t="shared" si="13"/>
        <v>40</v>
      </c>
      <c r="K12" s="120">
        <f>J12*D12</f>
        <v>0</v>
      </c>
      <c r="L12" s="121">
        <f>IF(K12=0,0,(K12-I12)/K12)</f>
        <v>0</v>
      </c>
      <c r="M12" s="170"/>
      <c r="O12" s="114" t="s">
        <v>27</v>
      </c>
      <c r="P12" s="122" t="s">
        <v>89</v>
      </c>
      <c r="Q12" s="175" t="s">
        <v>89</v>
      </c>
      <c r="R12" s="116" t="str">
        <f t="shared" si="10"/>
        <v>N/A</v>
      </c>
      <c r="S12" s="122" t="s">
        <v>21</v>
      </c>
      <c r="T12" s="116" t="s">
        <v>89</v>
      </c>
      <c r="U12" s="116" t="s">
        <v>89</v>
      </c>
      <c r="V12" s="116" t="s">
        <v>89</v>
      </c>
      <c r="W12" s="177"/>
      <c r="X12" s="120">
        <f>IF($P$20="Distributor",W12*$F$114,W12*$F$113)</f>
        <v>0</v>
      </c>
      <c r="Y12" s="120">
        <f t="shared" ref="Y12:Y13" si="18">X12</f>
        <v>0</v>
      </c>
      <c r="Z12" s="94">
        <f t="shared" si="6"/>
        <v>0</v>
      </c>
      <c r="AA12" s="13"/>
    </row>
    <row r="13" spans="1:36" ht="15" thickBot="1">
      <c r="A13" s="114" t="s">
        <v>156</v>
      </c>
      <c r="B13" s="115" t="s">
        <v>244</v>
      </c>
      <c r="C13" s="122" t="s">
        <v>89</v>
      </c>
      <c r="D13" s="116">
        <f>IF(B13="Yes",1,0)</f>
        <v>0</v>
      </c>
      <c r="E13" s="117" t="s">
        <v>21</v>
      </c>
      <c r="F13" s="118">
        <f>B137</f>
        <v>0</v>
      </c>
      <c r="G13" s="118">
        <f>C137</f>
        <v>13</v>
      </c>
      <c r="H13" s="119">
        <f t="shared" si="17"/>
        <v>13</v>
      </c>
      <c r="I13" s="103">
        <f>IF(B13="Yes",H13*B5,0)</f>
        <v>0</v>
      </c>
      <c r="J13" s="93">
        <f t="shared" si="13"/>
        <v>26</v>
      </c>
      <c r="K13" s="103">
        <f>IF(B13="Yes",B5*J13,0)</f>
        <v>0</v>
      </c>
      <c r="L13" s="121">
        <f>IF(K13=0,0,(K13-I13)/K13)</f>
        <v>0</v>
      </c>
      <c r="M13" s="168"/>
      <c r="O13" s="123" t="s">
        <v>102</v>
      </c>
      <c r="P13" s="124" t="s">
        <v>89</v>
      </c>
      <c r="Q13" s="178" t="s">
        <v>89</v>
      </c>
      <c r="R13" s="155" t="str">
        <f t="shared" si="10"/>
        <v>N/A</v>
      </c>
      <c r="S13" s="124" t="s">
        <v>21</v>
      </c>
      <c r="T13" s="155" t="s">
        <v>89</v>
      </c>
      <c r="U13" s="155" t="s">
        <v>89</v>
      </c>
      <c r="V13" s="155" t="s">
        <v>89</v>
      </c>
      <c r="W13" s="126"/>
      <c r="X13" s="128">
        <f>IF($P$20="Distributor",W13*$F$114,W13*$F$113)</f>
        <v>0</v>
      </c>
      <c r="Y13" s="128">
        <f t="shared" si="18"/>
        <v>0</v>
      </c>
      <c r="Z13" s="156">
        <f t="shared" si="6"/>
        <v>0</v>
      </c>
      <c r="AA13" s="14"/>
    </row>
    <row r="14" spans="1:36" ht="18.75" thickBot="1">
      <c r="A14" s="114" t="s">
        <v>43</v>
      </c>
      <c r="B14" s="115" t="s">
        <v>246</v>
      </c>
      <c r="C14" s="115" t="s">
        <v>246</v>
      </c>
      <c r="D14" s="116">
        <f>Four_Side_Validation(B14,C14)</f>
        <v>0</v>
      </c>
      <c r="E14" s="117" t="s">
        <v>20</v>
      </c>
      <c r="F14" s="118">
        <f>B133</f>
        <v>0</v>
      </c>
      <c r="G14" s="118">
        <f>C133</f>
        <v>0.7</v>
      </c>
      <c r="H14" s="101">
        <f t="shared" si="17"/>
        <v>0.7</v>
      </c>
      <c r="I14" s="103">
        <f>Four_Side_Cost(B14,C14,B5,C5,H14)</f>
        <v>0</v>
      </c>
      <c r="J14" s="93">
        <f t="shared" si="13"/>
        <v>1.4</v>
      </c>
      <c r="K14" s="103">
        <f>Four_Side_Sell(B14,C14,B5,C5,J14)</f>
        <v>0</v>
      </c>
      <c r="L14" s="104">
        <f t="shared" si="14"/>
        <v>0</v>
      </c>
      <c r="M14" s="168"/>
      <c r="O14" s="333" t="s">
        <v>57</v>
      </c>
      <c r="P14" s="131">
        <f>SUM(Y5:Y13)</f>
        <v>0</v>
      </c>
      <c r="S14" s="132"/>
      <c r="T14" s="132"/>
      <c r="U14" s="132"/>
      <c r="V14" s="132"/>
      <c r="W14" s="132"/>
      <c r="X14" s="132"/>
      <c r="Y14" s="132"/>
      <c r="Z14" s="132"/>
      <c r="AA14" s="4"/>
    </row>
    <row r="15" spans="1:36">
      <c r="A15" s="309" t="s">
        <v>216</v>
      </c>
      <c r="B15" s="96" t="s">
        <v>147</v>
      </c>
      <c r="C15" s="122" t="s">
        <v>44</v>
      </c>
      <c r="D15" s="116">
        <f>IF(B15="Yes",B5,0)</f>
        <v>0</v>
      </c>
      <c r="E15" s="117" t="s">
        <v>20</v>
      </c>
      <c r="F15" s="118">
        <f>$B$134</f>
        <v>0</v>
      </c>
      <c r="G15" s="118">
        <f>$C$134</f>
        <v>1</v>
      </c>
      <c r="H15" s="101">
        <f t="shared" ref="H15:H17" si="19">F15+G15</f>
        <v>1</v>
      </c>
      <c r="I15" s="103">
        <f t="shared" ref="I15:I16" si="20">H15*D15</f>
        <v>0</v>
      </c>
      <c r="J15" s="93">
        <f t="shared" si="13"/>
        <v>2</v>
      </c>
      <c r="K15" s="103">
        <f>J15*D15</f>
        <v>0</v>
      </c>
      <c r="L15" s="104">
        <f t="shared" si="14"/>
        <v>0</v>
      </c>
      <c r="M15" s="168"/>
      <c r="Q15" s="133"/>
      <c r="R15" s="133"/>
      <c r="S15" s="132"/>
      <c r="T15" s="132"/>
      <c r="U15" s="132"/>
      <c r="V15" s="132"/>
      <c r="W15" s="132"/>
      <c r="X15" s="132"/>
      <c r="Y15" s="132"/>
      <c r="Z15" s="132"/>
      <c r="AA15" s="4"/>
    </row>
    <row r="16" spans="1:36" ht="15" thickBot="1">
      <c r="A16" s="309" t="s">
        <v>217</v>
      </c>
      <c r="B16" s="96" t="s">
        <v>147</v>
      </c>
      <c r="C16" s="122" t="s">
        <v>89</v>
      </c>
      <c r="D16" s="116">
        <f>IF(B16="Yes",B5,0)</f>
        <v>0</v>
      </c>
      <c r="E16" s="117" t="s">
        <v>20</v>
      </c>
      <c r="F16" s="118">
        <f>$B$136</f>
        <v>0</v>
      </c>
      <c r="G16" s="118">
        <f>$C$136</f>
        <v>3</v>
      </c>
      <c r="H16" s="101">
        <f t="shared" si="19"/>
        <v>3</v>
      </c>
      <c r="I16" s="103">
        <f t="shared" si="20"/>
        <v>0</v>
      </c>
      <c r="J16" s="93">
        <f t="shared" si="13"/>
        <v>6</v>
      </c>
      <c r="K16" s="103">
        <f t="shared" ref="K16:K17" si="21">J16*D16</f>
        <v>0</v>
      </c>
      <c r="L16" s="104">
        <f t="shared" si="14"/>
        <v>0</v>
      </c>
      <c r="M16" s="168"/>
      <c r="O16" s="132"/>
      <c r="P16" s="132"/>
      <c r="Q16" s="132"/>
      <c r="R16" s="132"/>
      <c r="S16" s="132"/>
      <c r="T16" s="132"/>
      <c r="U16" s="132"/>
      <c r="V16" s="132"/>
      <c r="W16" s="135"/>
      <c r="X16" s="132"/>
      <c r="Y16" s="136"/>
      <c r="Z16" s="132"/>
      <c r="AA16" s="4"/>
    </row>
    <row r="17" spans="1:28" ht="21" thickBot="1">
      <c r="A17" s="309" t="s">
        <v>218</v>
      </c>
      <c r="B17" s="311"/>
      <c r="C17" s="122" t="s">
        <v>89</v>
      </c>
      <c r="D17" s="116">
        <f>B17</f>
        <v>0</v>
      </c>
      <c r="E17" s="310" t="s">
        <v>219</v>
      </c>
      <c r="F17" s="118">
        <f>$B$135</f>
        <v>0</v>
      </c>
      <c r="G17" s="118">
        <f>$C$135</f>
        <v>10</v>
      </c>
      <c r="H17" s="101">
        <f t="shared" si="19"/>
        <v>10</v>
      </c>
      <c r="I17" s="103">
        <f>H17*B17</f>
        <v>0</v>
      </c>
      <c r="J17" s="93">
        <f t="shared" si="13"/>
        <v>20</v>
      </c>
      <c r="K17" s="103">
        <f t="shared" si="21"/>
        <v>0</v>
      </c>
      <c r="L17" s="104">
        <f t="shared" si="14"/>
        <v>0</v>
      </c>
      <c r="M17" s="168"/>
      <c r="O17" s="181" t="s">
        <v>37</v>
      </c>
      <c r="P17" s="182"/>
      <c r="Q17" s="183" t="s">
        <v>66</v>
      </c>
      <c r="R17" s="184"/>
      <c r="S17" s="132"/>
      <c r="T17" s="233" t="s">
        <v>176</v>
      </c>
      <c r="U17" s="133"/>
      <c r="V17" s="133"/>
      <c r="W17" s="133"/>
      <c r="X17" s="133"/>
      <c r="Y17" s="133"/>
      <c r="Z17" s="133"/>
      <c r="AB17" s="4"/>
    </row>
    <row r="18" spans="1:28" ht="18.75" thickBot="1">
      <c r="A18" s="123" t="s">
        <v>93</v>
      </c>
      <c r="B18" s="124" t="s">
        <v>89</v>
      </c>
      <c r="C18" s="124" t="s">
        <v>89</v>
      </c>
      <c r="D18" s="124" t="s">
        <v>89</v>
      </c>
      <c r="E18" s="125" t="s">
        <v>21</v>
      </c>
      <c r="F18" s="124" t="s">
        <v>89</v>
      </c>
      <c r="G18" s="124" t="s">
        <v>89</v>
      </c>
      <c r="H18" s="124" t="s">
        <v>89</v>
      </c>
      <c r="I18" s="126"/>
      <c r="J18" s="127">
        <f>IF(P$20="Distributor",I18*F$114,I18*F$113)</f>
        <v>0</v>
      </c>
      <c r="K18" s="128">
        <f>J18</f>
        <v>0</v>
      </c>
      <c r="L18" s="129">
        <f t="shared" si="14"/>
        <v>0</v>
      </c>
      <c r="M18" s="171"/>
      <c r="O18" s="185" t="s">
        <v>31</v>
      </c>
      <c r="P18" s="186"/>
      <c r="Q18" s="187" t="s">
        <v>66</v>
      </c>
      <c r="R18" s="188"/>
      <c r="S18" s="132"/>
      <c r="T18" s="196" t="s">
        <v>45</v>
      </c>
      <c r="U18" s="228" t="e">
        <f ca="1" xml:space="preserve"> SUM(I5+I6+I8+I9+I10+I11+I12+I14+I18+I13)</f>
        <v>#NAME?</v>
      </c>
      <c r="V18" s="229" t="s">
        <v>46</v>
      </c>
      <c r="W18" s="134" t="e">
        <f ca="1">IF(B19=0,0,(B19-U18)/B19)</f>
        <v>#NAME?</v>
      </c>
      <c r="X18" s="133"/>
      <c r="Y18" s="133"/>
      <c r="Z18" s="133"/>
      <c r="AB18" s="4"/>
    </row>
    <row r="19" spans="1:28" ht="18.75" thickBot="1">
      <c r="A19" s="130" t="s">
        <v>131</v>
      </c>
      <c r="B19" s="131" t="e">
        <f ca="1">SUM(K5+K6+K8+K9+K10+K11+K12+K14+K18+K13+K15+K16+K17)</f>
        <v>#NAME?</v>
      </c>
      <c r="C19" s="233" t="s">
        <v>186</v>
      </c>
      <c r="D19" s="264"/>
      <c r="E19" s="132"/>
      <c r="F19" s="132"/>
      <c r="G19" s="132"/>
      <c r="H19" s="132"/>
      <c r="I19" s="133"/>
      <c r="J19" s="133"/>
      <c r="K19" s="133"/>
      <c r="L19" s="132"/>
      <c r="M19" s="132"/>
      <c r="O19" s="189" t="s">
        <v>55</v>
      </c>
      <c r="P19" s="190"/>
      <c r="Q19" s="191" t="s">
        <v>173</v>
      </c>
      <c r="R19" s="192"/>
      <c r="S19" s="132"/>
      <c r="T19" s="148" t="s">
        <v>47</v>
      </c>
      <c r="U19" s="232" t="e">
        <f ca="1">SUM(I25+I26+I28+I29+I30+I31+I32+I34+I38+I33)</f>
        <v>#NAME?</v>
      </c>
      <c r="V19" s="180" t="s">
        <v>48</v>
      </c>
      <c r="W19" s="134" t="e">
        <f ca="1">IF(B39=0,0,(B39-U19)/B39)</f>
        <v>#NAME?</v>
      </c>
      <c r="X19" s="133"/>
      <c r="Y19" s="133"/>
      <c r="Z19" s="133"/>
      <c r="AB19" s="4"/>
    </row>
    <row r="20" spans="1:28" ht="18.75" thickBot="1">
      <c r="C20" s="133"/>
      <c r="D20" s="133"/>
      <c r="E20" s="132"/>
      <c r="F20" s="132"/>
      <c r="G20" s="132"/>
      <c r="H20" s="132"/>
      <c r="I20" s="133"/>
      <c r="J20" s="133"/>
      <c r="K20" s="133"/>
      <c r="L20" s="132"/>
      <c r="M20" s="132"/>
      <c r="O20" s="191" t="s">
        <v>32</v>
      </c>
      <c r="P20" s="186"/>
      <c r="Q20" s="132"/>
      <c r="R20" s="132"/>
      <c r="S20" s="132"/>
      <c r="T20" s="148" t="s">
        <v>49</v>
      </c>
      <c r="U20" s="232" t="e">
        <f ca="1">SUM(I45+I46+I48+I49+I50+I51+I52+I53+I58+I57)</f>
        <v>#NAME?</v>
      </c>
      <c r="V20" s="227" t="s">
        <v>50</v>
      </c>
      <c r="W20" s="134" t="e">
        <f ca="1">IF(B59=0,0,(B59-U20)/B59)</f>
        <v>#NAME?</v>
      </c>
      <c r="X20" s="133"/>
      <c r="Y20" s="133"/>
      <c r="Z20" s="133"/>
      <c r="AB20" s="4"/>
    </row>
    <row r="21" spans="1:28" ht="18.75" thickBot="1">
      <c r="C21" s="133"/>
      <c r="D21" s="133"/>
      <c r="E21" s="132"/>
      <c r="F21" s="132"/>
      <c r="G21" s="132"/>
      <c r="H21" s="132"/>
      <c r="I21" s="133"/>
      <c r="J21" s="133"/>
      <c r="K21" s="133"/>
      <c r="L21" s="132"/>
      <c r="M21" s="132"/>
      <c r="O21" s="193" t="s">
        <v>54</v>
      </c>
      <c r="P21" s="194"/>
      <c r="Q21" s="132"/>
      <c r="R21" s="132"/>
      <c r="S21" s="132"/>
      <c r="T21" s="148" t="s">
        <v>51</v>
      </c>
      <c r="U21" s="232" t="e">
        <f ca="1">SUM(I65+I66+I68+I69+I70+I71+I72+I73+I78+I77)</f>
        <v>#NAME?</v>
      </c>
      <c r="V21" s="180" t="s">
        <v>52</v>
      </c>
      <c r="W21" s="134" t="e">
        <f ca="1">IF(B79=0,0,(B79-U21)/B79)</f>
        <v>#NAME?</v>
      </c>
      <c r="X21" s="133"/>
      <c r="Y21" s="133"/>
      <c r="Z21" s="133"/>
      <c r="AB21" s="4"/>
    </row>
    <row r="22" spans="1:28" ht="18.75" thickBot="1">
      <c r="A22" s="133"/>
      <c r="B22" s="135"/>
      <c r="C22" s="133"/>
      <c r="D22" s="136"/>
      <c r="E22" s="132"/>
      <c r="F22" s="132"/>
      <c r="G22" s="132"/>
      <c r="H22" s="132"/>
      <c r="I22" s="133"/>
      <c r="J22" s="133"/>
      <c r="K22" s="133"/>
      <c r="L22" s="132"/>
      <c r="M22" s="132"/>
      <c r="O22" s="193" t="s">
        <v>33</v>
      </c>
      <c r="P22" s="194"/>
      <c r="Q22" s="132"/>
      <c r="R22" s="132"/>
      <c r="S22" s="132"/>
      <c r="T22" s="224" t="s">
        <v>63</v>
      </c>
      <c r="U22" s="225" t="e">
        <f ca="1">SUM(I85+I86+I88+I89+I90+I91+I92+I93+I98+I97)</f>
        <v>#NAME?</v>
      </c>
      <c r="V22" s="230" t="s">
        <v>64</v>
      </c>
      <c r="W22" s="11" t="e">
        <f ca="1">IF(B99=0,0,(B99-U22)/B99)</f>
        <v>#NAME?</v>
      </c>
      <c r="X22" s="133"/>
      <c r="Y22" s="133"/>
      <c r="Z22" s="133"/>
      <c r="AB22" s="4"/>
    </row>
    <row r="23" spans="1:28" ht="18.75" thickBot="1">
      <c r="A23" s="137" t="s">
        <v>11</v>
      </c>
      <c r="B23" s="302" t="s">
        <v>249</v>
      </c>
      <c r="C23" s="132"/>
      <c r="D23" s="132"/>
      <c r="E23" s="132"/>
      <c r="F23" s="132"/>
      <c r="G23" s="132"/>
      <c r="H23" s="132"/>
      <c r="I23" s="132"/>
      <c r="J23" s="132"/>
      <c r="K23" s="132"/>
      <c r="L23" s="132"/>
      <c r="M23" s="132"/>
      <c r="O23" s="195" t="s">
        <v>60</v>
      </c>
      <c r="P23" s="294"/>
      <c r="Q23" s="132"/>
      <c r="R23" s="132"/>
      <c r="S23" s="132"/>
      <c r="T23" s="148" t="s">
        <v>56</v>
      </c>
      <c r="U23" s="179">
        <f>SUM(W5:W13)</f>
        <v>0</v>
      </c>
      <c r="V23" s="180" t="s">
        <v>213</v>
      </c>
      <c r="W23" s="134">
        <f>IF(P14=0,0,U23/P14)</f>
        <v>0</v>
      </c>
      <c r="X23" s="133"/>
      <c r="Y23" s="133"/>
      <c r="Z23" s="133"/>
    </row>
    <row r="24" spans="1:28" ht="21" thickBot="1">
      <c r="A24" s="82" t="s">
        <v>34</v>
      </c>
      <c r="B24" s="83" t="s">
        <v>0</v>
      </c>
      <c r="C24" s="84" t="s">
        <v>1</v>
      </c>
      <c r="D24" s="138" t="s">
        <v>2</v>
      </c>
      <c r="E24" s="83" t="s">
        <v>3</v>
      </c>
      <c r="F24" s="83" t="s">
        <v>41</v>
      </c>
      <c r="G24" s="83" t="s">
        <v>4</v>
      </c>
      <c r="H24" s="83" t="s">
        <v>221</v>
      </c>
      <c r="I24" s="83" t="s">
        <v>53</v>
      </c>
      <c r="J24" s="83" t="s">
        <v>7</v>
      </c>
      <c r="K24" s="83" t="s">
        <v>130</v>
      </c>
      <c r="L24" s="83" t="s">
        <v>8</v>
      </c>
      <c r="M24" s="86" t="s">
        <v>61</v>
      </c>
      <c r="O24" s="196" t="s">
        <v>179</v>
      </c>
      <c r="P24" s="197"/>
      <c r="Q24" s="198" t="s">
        <v>180</v>
      </c>
      <c r="R24" s="199"/>
      <c r="S24" s="132"/>
      <c r="T24" s="148" t="s">
        <v>166</v>
      </c>
      <c r="U24" s="179">
        <f>SUM(AF5:AF9)</f>
        <v>0</v>
      </c>
      <c r="V24" s="180" t="s">
        <v>168</v>
      </c>
      <c r="W24" s="134">
        <f>IF(AD10=0,0,U24/AD10)</f>
        <v>0</v>
      </c>
      <c r="X24" s="133"/>
      <c r="Y24" s="133"/>
      <c r="Z24" s="133"/>
    </row>
    <row r="25" spans="1:28" ht="18.75" thickBot="1">
      <c r="A25" s="87" t="s">
        <v>85</v>
      </c>
      <c r="B25" s="88"/>
      <c r="C25" s="88"/>
      <c r="D25" s="139">
        <f>B25*C25</f>
        <v>0</v>
      </c>
      <c r="E25" s="91" t="s">
        <v>19</v>
      </c>
      <c r="F25" s="92">
        <f>IF(B23="3-Panel",0.7,$B$125)</f>
        <v>0.45</v>
      </c>
      <c r="G25" s="92" t="e">
        <f ca="1">_xlfn.SWITCH(B23,$A$154,$F$154,$A$155,$F$155,$A$156,$F$156,$A$157,$F$157,$A$158,$F$158,$A$159,$F$159,$K$104,0)</f>
        <v>#NAME?</v>
      </c>
      <c r="H25" s="92" t="e">
        <f ca="1">F25+G25</f>
        <v>#NAME?</v>
      </c>
      <c r="I25" s="92" t="e">
        <f ca="1">H25*D25</f>
        <v>#NAME?</v>
      </c>
      <c r="J25" s="93" t="e">
        <f ca="1">IF(P20="Distributor",H25*F114,H25*F113)</f>
        <v>#NAME?</v>
      </c>
      <c r="K25" s="93" t="e">
        <f ca="1">J25*D25</f>
        <v>#NAME?</v>
      </c>
      <c r="L25" s="94" t="e">
        <f ca="1">IF(K25=0,0,(K25-I25)/K25)</f>
        <v>#NAME?</v>
      </c>
      <c r="M25" s="167"/>
      <c r="O25" s="200" t="s">
        <v>170</v>
      </c>
      <c r="P25" s="201" t="e">
        <f ca="1">(G113/F113)*P26</f>
        <v>#NAME?</v>
      </c>
      <c r="Q25" s="202" t="s">
        <v>170</v>
      </c>
      <c r="R25" s="201" t="e">
        <f ca="1">(G113/F113)*R26</f>
        <v>#NAME?</v>
      </c>
      <c r="S25" s="132"/>
      <c r="T25" s="148" t="s">
        <v>184</v>
      </c>
      <c r="U25" s="179">
        <f>SUM(W37:W47)</f>
        <v>0</v>
      </c>
      <c r="V25" s="180"/>
      <c r="W25" s="134"/>
      <c r="X25" s="132"/>
      <c r="Y25" s="132"/>
      <c r="Z25" s="132"/>
      <c r="AA25" s="4"/>
    </row>
    <row r="26" spans="1:28" ht="18.75" thickBot="1">
      <c r="A26" s="95" t="s">
        <v>12</v>
      </c>
      <c r="B26" s="96"/>
      <c r="C26" s="96"/>
      <c r="D26" s="140">
        <f t="shared" ref="D26" si="22">B26*C26</f>
        <v>0</v>
      </c>
      <c r="E26" s="99" t="s">
        <v>19</v>
      </c>
      <c r="F26" s="100">
        <f>F25</f>
        <v>0.45</v>
      </c>
      <c r="G26" s="100" t="e">
        <f ca="1">G25</f>
        <v>#NAME?</v>
      </c>
      <c r="H26" s="101" t="e">
        <f t="shared" ref="H26" ca="1" si="23">F26+G26</f>
        <v>#NAME?</v>
      </c>
      <c r="I26" s="101" t="e">
        <f ca="1">H26*D26</f>
        <v>#NAME?</v>
      </c>
      <c r="J26" s="102" t="e">
        <f ca="1">IF(P20="Distributor",H26*F114,H26*F113)</f>
        <v>#NAME?</v>
      </c>
      <c r="K26" s="103" t="e">
        <f ca="1">J26*D26</f>
        <v>#NAME?</v>
      </c>
      <c r="L26" s="104" t="e">
        <f ca="1">IF(K26=0,0,(K26-I26)/K26)</f>
        <v>#NAME?</v>
      </c>
      <c r="M26" s="168"/>
      <c r="O26" s="195" t="s">
        <v>171</v>
      </c>
      <c r="P26" s="203" t="e">
        <f ca="1">IF(R19="",SUM(B19,B39,B59,B79,B99,P14,AD10,P48),SUM(B19,B39,B59,B79,B99,P14,AD10,P48)*R19)</f>
        <v>#NAME?</v>
      </c>
      <c r="Q26" s="193" t="s">
        <v>171</v>
      </c>
      <c r="R26" s="204" t="e">
        <f ca="1">IF(R19="",SUM(B19,B39,B59,B79,B99,AD10,P48),SUM(B19,B39,B59,B79,B99,AD10,P48)*R19)</f>
        <v>#NAME?</v>
      </c>
      <c r="S26" s="132"/>
      <c r="T26" s="196" t="s">
        <v>230</v>
      </c>
      <c r="U26" s="226"/>
      <c r="V26" s="198"/>
      <c r="W26" s="199"/>
      <c r="X26" s="132"/>
      <c r="Y26" s="132"/>
      <c r="Z26" s="132"/>
      <c r="AA26" s="4"/>
    </row>
    <row r="27" spans="1:28" ht="21" thickBot="1">
      <c r="A27" s="82" t="s">
        <v>35</v>
      </c>
      <c r="B27" s="138" t="s">
        <v>22</v>
      </c>
      <c r="C27" s="138" t="s">
        <v>22</v>
      </c>
      <c r="D27" s="138" t="s">
        <v>22</v>
      </c>
      <c r="E27" s="83" t="s">
        <v>22</v>
      </c>
      <c r="F27" s="83" t="s">
        <v>22</v>
      </c>
      <c r="G27" s="83" t="s">
        <v>22</v>
      </c>
      <c r="H27" s="83" t="s">
        <v>22</v>
      </c>
      <c r="I27" s="83" t="s">
        <v>22</v>
      </c>
      <c r="J27" s="83" t="s">
        <v>22</v>
      </c>
      <c r="K27" s="83" t="s">
        <v>22</v>
      </c>
      <c r="L27" s="83" t="s">
        <v>22</v>
      </c>
      <c r="M27" s="84" t="s">
        <v>22</v>
      </c>
      <c r="O27" s="191" t="s">
        <v>59</v>
      </c>
      <c r="P27" s="205"/>
      <c r="Q27" s="132"/>
      <c r="R27" s="132"/>
      <c r="S27" s="132"/>
      <c r="T27" s="193" t="s">
        <v>153</v>
      </c>
      <c r="U27" s="201" t="e">
        <f ca="1">IF(R19="",SUM(U18:U25),SUM(U18:U25)*R19)</f>
        <v>#NAME?</v>
      </c>
      <c r="V27" s="187" t="s">
        <v>153</v>
      </c>
      <c r="W27" s="201" t="e">
        <f ca="1">IF(R19="",SUM(U18:U22,U24,U25),SUM(U18:U22,U24,U25)*R19)</f>
        <v>#NAME?</v>
      </c>
      <c r="X27" s="132"/>
      <c r="Y27" s="132"/>
      <c r="Z27" s="132"/>
      <c r="AA27" s="4"/>
    </row>
    <row r="28" spans="1:28" ht="16.5" thickBot="1">
      <c r="A28" s="141" t="s">
        <v>90</v>
      </c>
      <c r="B28" s="106"/>
      <c r="C28" s="107" t="s">
        <v>89</v>
      </c>
      <c r="D28" s="108">
        <f>B28</f>
        <v>0</v>
      </c>
      <c r="E28" s="91" t="s">
        <v>42</v>
      </c>
      <c r="F28" s="142">
        <f>$B$127</f>
        <v>30</v>
      </c>
      <c r="G28" s="142">
        <f>$C$127</f>
        <v>0</v>
      </c>
      <c r="H28" s="143">
        <f>F28+G28</f>
        <v>30</v>
      </c>
      <c r="I28" s="109">
        <f>H28*B28</f>
        <v>0</v>
      </c>
      <c r="J28" s="111">
        <f t="shared" ref="J28:J37" si="24">IF(P$20="Distributor",H28*F$114,H28*F$113)</f>
        <v>60</v>
      </c>
      <c r="K28" s="144">
        <f>J28*D28</f>
        <v>0</v>
      </c>
      <c r="L28" s="94">
        <f t="shared" ref="L28:L38" si="25">IF(K28=0,0,(K28-I28)/K28)</f>
        <v>0</v>
      </c>
      <c r="M28" s="167"/>
      <c r="S28" s="132"/>
      <c r="T28" s="193" t="s">
        <v>154</v>
      </c>
      <c r="U28" s="134" t="e">
        <f ca="1">IF(P26=0,0,(P26-U27)/P26)</f>
        <v>#NAME?</v>
      </c>
      <c r="V28" s="231"/>
      <c r="W28" s="134" t="e">
        <f ca="1">IF(R26=0,0,(R26-W27)/R26)</f>
        <v>#NAME?</v>
      </c>
      <c r="X28" s="132"/>
      <c r="Y28" s="132"/>
      <c r="Z28" s="132"/>
      <c r="AA28" s="4"/>
    </row>
    <row r="29" spans="1:28">
      <c r="A29" s="114" t="s">
        <v>16</v>
      </c>
      <c r="B29" s="115" t="s">
        <v>246</v>
      </c>
      <c r="C29" s="115" t="s">
        <v>246</v>
      </c>
      <c r="D29" s="116">
        <f>Four_Side_Validation(B29,C29)*D39</f>
        <v>0</v>
      </c>
      <c r="E29" s="117" t="s">
        <v>20</v>
      </c>
      <c r="F29" s="118">
        <f>$B$128</f>
        <v>0.4</v>
      </c>
      <c r="G29" s="118">
        <f>$C$128</f>
        <v>0.35</v>
      </c>
      <c r="H29" s="119">
        <f t="shared" ref="H29:H37" si="26">F29+G29</f>
        <v>0.75</v>
      </c>
      <c r="I29" s="120">
        <f>Four_Side_Velcro_Cost(B29,C29,B25,C25,H29,D39)</f>
        <v>0</v>
      </c>
      <c r="J29" s="93">
        <f t="shared" si="24"/>
        <v>1.5</v>
      </c>
      <c r="K29" s="120">
        <f>Four_Side_Velcro_Sell(B29,C29,B25,C25,J29,D39)</f>
        <v>0</v>
      </c>
      <c r="L29" s="121">
        <f t="shared" si="25"/>
        <v>0</v>
      </c>
      <c r="M29" s="170"/>
      <c r="S29" s="132"/>
      <c r="T29" s="132"/>
      <c r="U29" s="132"/>
      <c r="V29" s="132"/>
      <c r="W29" s="132"/>
      <c r="X29" s="132"/>
      <c r="Y29" s="132"/>
      <c r="Z29" s="132"/>
      <c r="AA29" s="4"/>
    </row>
    <row r="30" spans="1:28">
      <c r="A30" s="114" t="s">
        <v>17</v>
      </c>
      <c r="B30" s="115" t="s">
        <v>246</v>
      </c>
      <c r="C30" s="122" t="s">
        <v>89</v>
      </c>
      <c r="D30" s="116">
        <f>Chain_Validation(B30,C30)</f>
        <v>0</v>
      </c>
      <c r="E30" s="117" t="s">
        <v>20</v>
      </c>
      <c r="F30" s="118">
        <f>$B$129</f>
        <v>0</v>
      </c>
      <c r="G30" s="118">
        <f>$C$129</f>
        <v>0.63</v>
      </c>
      <c r="H30" s="119">
        <f t="shared" si="26"/>
        <v>0.63</v>
      </c>
      <c r="I30" s="120">
        <f>Chain_Cost(B30,B25,B26,H30)</f>
        <v>0</v>
      </c>
      <c r="J30" s="93">
        <f t="shared" si="24"/>
        <v>1.26</v>
      </c>
      <c r="K30" s="120">
        <f>Chain_Sell(B30,B25,B26,J30)</f>
        <v>0</v>
      </c>
      <c r="L30" s="121">
        <f t="shared" si="25"/>
        <v>0</v>
      </c>
      <c r="M30" s="170"/>
      <c r="Q30" s="4"/>
      <c r="R30" s="4"/>
      <c r="T30" s="132"/>
      <c r="U30" s="132"/>
      <c r="V30" s="132"/>
      <c r="X30" s="132"/>
      <c r="Y30" s="132"/>
      <c r="Z30" s="132"/>
      <c r="AA30" s="4"/>
    </row>
    <row r="31" spans="1:28">
      <c r="A31" s="114" t="s">
        <v>18</v>
      </c>
      <c r="B31" s="115" t="s">
        <v>246</v>
      </c>
      <c r="C31" s="115" t="s">
        <v>247</v>
      </c>
      <c r="D31" s="116">
        <f>Four_Side_Validation(B31,C31)</f>
        <v>0</v>
      </c>
      <c r="E31" s="117" t="s">
        <v>20</v>
      </c>
      <c r="F31" s="118">
        <f>$B$130</f>
        <v>0</v>
      </c>
      <c r="G31" s="118">
        <f>$C$130</f>
        <v>2.2000000000000002</v>
      </c>
      <c r="H31" s="119">
        <f t="shared" si="26"/>
        <v>2.2000000000000002</v>
      </c>
      <c r="I31" s="120">
        <f>Four_Side_Cost(B31,C31,B25,C25,H31)</f>
        <v>0</v>
      </c>
      <c r="J31" s="93">
        <f t="shared" si="24"/>
        <v>4.4000000000000004</v>
      </c>
      <c r="K31" s="120">
        <f>Four_Side_Sell(B31,C31,B25,C25,J31)</f>
        <v>0</v>
      </c>
      <c r="L31" s="121">
        <f t="shared" si="25"/>
        <v>0</v>
      </c>
      <c r="M31" s="170"/>
      <c r="V31" s="4"/>
      <c r="X31" s="4"/>
      <c r="Y31" s="4"/>
      <c r="Z31" s="4"/>
      <c r="AA31" s="4"/>
    </row>
    <row r="32" spans="1:28">
      <c r="A32" s="114" t="s">
        <v>227</v>
      </c>
      <c r="B32" s="115"/>
      <c r="C32" s="122" t="s">
        <v>89</v>
      </c>
      <c r="D32" s="116">
        <v>0</v>
      </c>
      <c r="E32" s="117" t="s">
        <v>21</v>
      </c>
      <c r="F32" s="118">
        <f>$B$132</f>
        <v>0</v>
      </c>
      <c r="G32" s="118">
        <f>$C$132</f>
        <v>20</v>
      </c>
      <c r="H32" s="119">
        <f t="shared" si="26"/>
        <v>20</v>
      </c>
      <c r="I32" s="120">
        <f>H32*D32</f>
        <v>0</v>
      </c>
      <c r="J32" s="93">
        <f t="shared" si="24"/>
        <v>40</v>
      </c>
      <c r="K32" s="120">
        <f>J32*D32</f>
        <v>0</v>
      </c>
      <c r="L32" s="121">
        <f t="shared" si="25"/>
        <v>0</v>
      </c>
      <c r="M32" s="170"/>
    </row>
    <row r="33" spans="1:27">
      <c r="A33" s="114" t="s">
        <v>156</v>
      </c>
      <c r="B33" s="115" t="s">
        <v>248</v>
      </c>
      <c r="C33" s="122" t="s">
        <v>89</v>
      </c>
      <c r="D33" s="116">
        <f>IF(B33="Yes",1,0)</f>
        <v>0</v>
      </c>
      <c r="E33" s="117" t="s">
        <v>21</v>
      </c>
      <c r="F33" s="118">
        <f>B$137</f>
        <v>0</v>
      </c>
      <c r="G33" s="118">
        <f>C$137</f>
        <v>13</v>
      </c>
      <c r="H33" s="119">
        <f>F33+G33</f>
        <v>13</v>
      </c>
      <c r="I33" s="103">
        <f>IF(B33="Yes",H33*B25,0)</f>
        <v>0</v>
      </c>
      <c r="J33" s="93">
        <f t="shared" si="24"/>
        <v>26</v>
      </c>
      <c r="K33" s="103">
        <f>IF(B33="Yes",B25*J33,0)</f>
        <v>0</v>
      </c>
      <c r="L33" s="121">
        <f>IF(K33=0,0,(K33-I33)/K33)</f>
        <v>0</v>
      </c>
      <c r="M33" s="168"/>
      <c r="Q33" s="64"/>
    </row>
    <row r="34" spans="1:27" ht="15" thickBot="1">
      <c r="A34" s="114" t="s">
        <v>43</v>
      </c>
      <c r="B34" s="115" t="s">
        <v>246</v>
      </c>
      <c r="C34" s="115" t="s">
        <v>247</v>
      </c>
      <c r="D34" s="116">
        <f>Four_Side_Validation(B34,C34)</f>
        <v>0</v>
      </c>
      <c r="E34" s="117" t="s">
        <v>20</v>
      </c>
      <c r="F34" s="118">
        <f>B$133</f>
        <v>0</v>
      </c>
      <c r="G34" s="118">
        <f>C$133</f>
        <v>0.7</v>
      </c>
      <c r="H34" s="119">
        <f t="shared" si="26"/>
        <v>0.7</v>
      </c>
      <c r="I34" s="103">
        <f>Four_Side_Cost(B34,C34,B25,C25,H34)</f>
        <v>0</v>
      </c>
      <c r="J34" s="93">
        <f t="shared" si="24"/>
        <v>1.4</v>
      </c>
      <c r="K34" s="103">
        <f>Four_Side_Sell(B34,C34,B25,C25,J34)</f>
        <v>0</v>
      </c>
      <c r="L34" s="121">
        <f t="shared" si="25"/>
        <v>0</v>
      </c>
      <c r="M34" s="170"/>
    </row>
    <row r="35" spans="1:27" ht="21" thickBot="1">
      <c r="A35" s="309" t="s">
        <v>216</v>
      </c>
      <c r="B35" s="96" t="s">
        <v>147</v>
      </c>
      <c r="C35" s="122" t="s">
        <v>89</v>
      </c>
      <c r="D35" s="116">
        <f>IF(B35="Yes",B25,0)</f>
        <v>0</v>
      </c>
      <c r="E35" s="117" t="s">
        <v>20</v>
      </c>
      <c r="F35" s="118">
        <f>$B$134</f>
        <v>0</v>
      </c>
      <c r="G35" s="118">
        <f>$C$134</f>
        <v>1</v>
      </c>
      <c r="H35" s="101">
        <f t="shared" si="26"/>
        <v>1</v>
      </c>
      <c r="I35" s="103">
        <f t="shared" ref="I35:I36" si="27">H35*D35</f>
        <v>0</v>
      </c>
      <c r="J35" s="93">
        <f t="shared" si="24"/>
        <v>2</v>
      </c>
      <c r="K35" s="103">
        <f>J35*D35</f>
        <v>0</v>
      </c>
      <c r="L35" s="104">
        <f t="shared" si="25"/>
        <v>0</v>
      </c>
      <c r="M35" s="168"/>
      <c r="O35" s="289" t="s">
        <v>183</v>
      </c>
    </row>
    <row r="36" spans="1:27" ht="15" thickBot="1">
      <c r="A36" s="309" t="s">
        <v>217</v>
      </c>
      <c r="B36" s="115" t="s">
        <v>147</v>
      </c>
      <c r="C36" s="122" t="s">
        <v>89</v>
      </c>
      <c r="D36" s="116">
        <f>IF(B36="Yes",B25,0)</f>
        <v>0</v>
      </c>
      <c r="E36" s="117" t="s">
        <v>20</v>
      </c>
      <c r="F36" s="118">
        <f>$B$136</f>
        <v>0</v>
      </c>
      <c r="G36" s="118">
        <f>$C$136</f>
        <v>3</v>
      </c>
      <c r="H36" s="101">
        <f t="shared" si="26"/>
        <v>3</v>
      </c>
      <c r="I36" s="103">
        <f t="shared" si="27"/>
        <v>0</v>
      </c>
      <c r="J36" s="93">
        <f t="shared" si="24"/>
        <v>6</v>
      </c>
      <c r="K36" s="103">
        <f t="shared" ref="K36:K37" si="28">J36*D36</f>
        <v>0</v>
      </c>
      <c r="L36" s="104">
        <f t="shared" si="25"/>
        <v>0</v>
      </c>
      <c r="M36" s="168"/>
      <c r="O36" s="255" t="s">
        <v>187</v>
      </c>
      <c r="P36" s="276" t="s">
        <v>34</v>
      </c>
      <c r="Q36" s="276" t="s">
        <v>188</v>
      </c>
      <c r="R36" s="276" t="s">
        <v>2</v>
      </c>
      <c r="S36" s="279" t="s">
        <v>3</v>
      </c>
      <c r="T36" s="279" t="s">
        <v>199</v>
      </c>
      <c r="U36" s="265" t="s">
        <v>4</v>
      </c>
      <c r="V36" s="265" t="s">
        <v>147</v>
      </c>
      <c r="W36" s="265" t="s">
        <v>6</v>
      </c>
      <c r="X36" s="265" t="s">
        <v>7</v>
      </c>
      <c r="Y36" s="265" t="s">
        <v>130</v>
      </c>
      <c r="Z36" s="280" t="s">
        <v>8</v>
      </c>
      <c r="AA36" s="15" t="s">
        <v>61</v>
      </c>
    </row>
    <row r="37" spans="1:27">
      <c r="A37" s="309" t="s">
        <v>218</v>
      </c>
      <c r="B37" s="115"/>
      <c r="C37" s="91" t="s">
        <v>89</v>
      </c>
      <c r="D37" s="116">
        <v>0</v>
      </c>
      <c r="E37" s="310" t="s">
        <v>219</v>
      </c>
      <c r="F37" s="118">
        <f>$B$135</f>
        <v>0</v>
      </c>
      <c r="G37" s="118">
        <f>$C$135</f>
        <v>10</v>
      </c>
      <c r="H37" s="101">
        <f t="shared" si="26"/>
        <v>10</v>
      </c>
      <c r="I37" s="103">
        <f>H37*B37</f>
        <v>0</v>
      </c>
      <c r="J37" s="93">
        <f t="shared" si="24"/>
        <v>20</v>
      </c>
      <c r="K37" s="103">
        <f t="shared" si="28"/>
        <v>0</v>
      </c>
      <c r="L37" s="104">
        <f t="shared" si="25"/>
        <v>0</v>
      </c>
      <c r="M37" s="168"/>
      <c r="O37" s="287"/>
      <c r="P37" s="268"/>
      <c r="Q37" s="268"/>
      <c r="R37" s="286"/>
      <c r="S37" s="268" t="s">
        <v>21</v>
      </c>
      <c r="T37" s="6">
        <f>B150</f>
        <v>0</v>
      </c>
      <c r="U37" s="6">
        <f>C150</f>
        <v>2862</v>
      </c>
      <c r="V37" s="6"/>
      <c r="W37" s="6">
        <f>R37*V37</f>
        <v>0</v>
      </c>
      <c r="X37" s="6">
        <f>1.45*V37</f>
        <v>0</v>
      </c>
      <c r="Y37" s="6">
        <f>X37*R37</f>
        <v>0</v>
      </c>
      <c r="Z37" s="281">
        <f>IF(Y37=0,0,(Y37-W37)/Y37)</f>
        <v>0</v>
      </c>
      <c r="AA37" s="282"/>
    </row>
    <row r="38" spans="1:27" ht="15" thickBot="1">
      <c r="A38" s="123" t="s">
        <v>93</v>
      </c>
      <c r="B38" s="124" t="s">
        <v>89</v>
      </c>
      <c r="C38" s="124" t="s">
        <v>89</v>
      </c>
      <c r="D38" s="124" t="s">
        <v>89</v>
      </c>
      <c r="E38" s="145" t="s">
        <v>21</v>
      </c>
      <c r="F38" s="124" t="s">
        <v>89</v>
      </c>
      <c r="G38" s="124" t="s">
        <v>89</v>
      </c>
      <c r="H38" s="124" t="s">
        <v>89</v>
      </c>
      <c r="I38" s="146"/>
      <c r="J38" s="127">
        <f>IF(P$20="Distributor",I38*F$114,I38*F$113)</f>
        <v>0</v>
      </c>
      <c r="K38" s="128">
        <f>J38</f>
        <v>0</v>
      </c>
      <c r="L38" s="147">
        <f t="shared" si="25"/>
        <v>0</v>
      </c>
      <c r="M38" s="171"/>
      <c r="O38" s="288"/>
      <c r="P38" s="268"/>
      <c r="Q38" s="283"/>
      <c r="R38" s="286"/>
      <c r="S38" s="283" t="s">
        <v>21</v>
      </c>
      <c r="T38" s="21">
        <f>B151</f>
        <v>0</v>
      </c>
      <c r="U38" s="21">
        <f>C151</f>
        <v>2775</v>
      </c>
      <c r="V38" s="21">
        <f t="shared" ref="V38:V46" si="29">T38+U38</f>
        <v>2775</v>
      </c>
      <c r="W38" s="21">
        <f>R38*V38</f>
        <v>0</v>
      </c>
      <c r="X38" s="21">
        <f>1.43*V38</f>
        <v>3968.25</v>
      </c>
      <c r="Y38" s="21">
        <f>X38*R38</f>
        <v>0</v>
      </c>
      <c r="Z38" s="284">
        <f>IF(Y38=0,0,(Y38-W38)/Y38)</f>
        <v>0</v>
      </c>
      <c r="AA38" s="285"/>
    </row>
    <row r="39" spans="1:27" ht="18.75" thickBot="1">
      <c r="A39" s="130" t="s">
        <v>132</v>
      </c>
      <c r="B39" s="131" t="e">
        <f ca="1">SUM(K25+K26+K28+K29+K30+K31+K32+K34+K38+K33+K35+K36+K37)</f>
        <v>#NAME?</v>
      </c>
      <c r="C39" s="233" t="s">
        <v>186</v>
      </c>
      <c r="D39" s="264"/>
      <c r="E39" s="132"/>
      <c r="F39" s="132"/>
      <c r="G39" s="132"/>
      <c r="H39" s="132"/>
      <c r="I39" s="133"/>
      <c r="J39" s="133"/>
      <c r="K39" s="133"/>
      <c r="L39" s="132"/>
      <c r="M39" s="132"/>
      <c r="O39" s="274"/>
      <c r="P39" s="268"/>
      <c r="Q39" s="268"/>
      <c r="R39" s="286"/>
      <c r="S39" s="268" t="s">
        <v>21</v>
      </c>
      <c r="T39" s="6"/>
      <c r="U39" s="6"/>
      <c r="V39" s="6">
        <f t="shared" si="29"/>
        <v>0</v>
      </c>
      <c r="W39" s="6"/>
      <c r="X39" s="6"/>
      <c r="Y39" s="6"/>
      <c r="Z39" s="281"/>
      <c r="AA39" s="282"/>
    </row>
    <row r="40" spans="1:27">
      <c r="C40" s="133"/>
      <c r="D40" s="133"/>
      <c r="E40" s="132"/>
      <c r="F40" s="132"/>
      <c r="G40" s="132"/>
      <c r="H40" s="132"/>
      <c r="I40" s="133"/>
      <c r="J40" s="133"/>
      <c r="K40" s="133"/>
      <c r="L40" s="132"/>
      <c r="M40" s="132"/>
      <c r="O40" s="274"/>
      <c r="P40" s="268"/>
      <c r="Q40" s="268"/>
      <c r="R40" s="286"/>
      <c r="S40" s="268" t="s">
        <v>21</v>
      </c>
      <c r="T40" s="6"/>
      <c r="U40" s="6"/>
      <c r="V40" s="6">
        <f t="shared" si="29"/>
        <v>0</v>
      </c>
      <c r="W40" s="6"/>
      <c r="X40" s="6"/>
      <c r="Y40" s="6"/>
      <c r="Z40" s="281"/>
      <c r="AA40" s="282"/>
    </row>
    <row r="41" spans="1:27">
      <c r="C41" s="133"/>
      <c r="D41" s="133"/>
      <c r="E41" s="132"/>
      <c r="F41" s="132"/>
      <c r="G41" s="132"/>
      <c r="H41" s="132"/>
      <c r="I41" s="133"/>
      <c r="J41" s="133"/>
      <c r="K41" s="133"/>
      <c r="L41" s="132"/>
      <c r="M41" s="132"/>
      <c r="O41" s="274"/>
      <c r="P41" s="268"/>
      <c r="Q41" s="268"/>
      <c r="R41" s="286"/>
      <c r="S41" s="268" t="s">
        <v>21</v>
      </c>
      <c r="T41" s="6"/>
      <c r="U41" s="6"/>
      <c r="V41" s="6">
        <f t="shared" si="29"/>
        <v>0</v>
      </c>
      <c r="W41" s="6"/>
      <c r="X41" s="6"/>
      <c r="Y41" s="6"/>
      <c r="Z41" s="281"/>
      <c r="AA41" s="282"/>
    </row>
    <row r="42" spans="1:27" ht="15" thickBot="1">
      <c r="A42" s="133"/>
      <c r="B42" s="135"/>
      <c r="C42" s="133"/>
      <c r="D42" s="136"/>
      <c r="E42" s="132"/>
      <c r="F42" s="132"/>
      <c r="G42" s="132"/>
      <c r="H42" s="132"/>
      <c r="I42" s="133"/>
      <c r="J42" s="133"/>
      <c r="K42" s="133"/>
      <c r="L42" s="132"/>
      <c r="M42" s="132"/>
      <c r="O42" s="274"/>
      <c r="P42" s="268"/>
      <c r="Q42" s="268"/>
      <c r="R42" s="286"/>
      <c r="S42" s="268" t="s">
        <v>21</v>
      </c>
      <c r="T42" s="6"/>
      <c r="U42" s="6"/>
      <c r="V42" s="6">
        <f t="shared" si="29"/>
        <v>0</v>
      </c>
      <c r="W42" s="6"/>
      <c r="X42" s="6"/>
      <c r="Y42" s="6"/>
      <c r="Z42" s="281"/>
      <c r="AA42" s="282"/>
    </row>
    <row r="43" spans="1:27" ht="18.75" thickBot="1">
      <c r="A43" s="137" t="s">
        <v>13</v>
      </c>
      <c r="B43" s="302" t="s">
        <v>249</v>
      </c>
      <c r="C43" s="132"/>
      <c r="D43" s="132"/>
      <c r="E43" s="132"/>
      <c r="F43" s="132"/>
      <c r="G43" s="132"/>
      <c r="H43" s="132"/>
      <c r="I43" s="132"/>
      <c r="J43" s="132"/>
      <c r="K43" s="132"/>
      <c r="L43" s="132"/>
      <c r="M43" s="132"/>
      <c r="O43" s="274"/>
      <c r="P43" s="268"/>
      <c r="Q43" s="268"/>
      <c r="R43" s="286"/>
      <c r="S43" s="268" t="s">
        <v>21</v>
      </c>
      <c r="T43" s="6"/>
      <c r="U43" s="6"/>
      <c r="V43" s="6">
        <f t="shared" si="29"/>
        <v>0</v>
      </c>
      <c r="W43" s="6"/>
      <c r="X43" s="6"/>
      <c r="Y43" s="6"/>
      <c r="Z43" s="281"/>
      <c r="AA43" s="282"/>
    </row>
    <row r="44" spans="1:27" ht="21" thickBot="1">
      <c r="A44" s="149" t="s">
        <v>34</v>
      </c>
      <c r="B44" s="83" t="s">
        <v>0</v>
      </c>
      <c r="C44" s="84" t="s">
        <v>1</v>
      </c>
      <c r="D44" s="151" t="s">
        <v>2</v>
      </c>
      <c r="E44" s="150" t="s">
        <v>3</v>
      </c>
      <c r="F44" s="150" t="s">
        <v>199</v>
      </c>
      <c r="G44" s="150" t="s">
        <v>4</v>
      </c>
      <c r="H44" s="83" t="s">
        <v>221</v>
      </c>
      <c r="I44" s="150" t="s">
        <v>53</v>
      </c>
      <c r="J44" s="150" t="s">
        <v>7</v>
      </c>
      <c r="K44" s="83" t="s">
        <v>130</v>
      </c>
      <c r="L44" s="150" t="s">
        <v>8</v>
      </c>
      <c r="M44" s="152" t="s">
        <v>61</v>
      </c>
      <c r="O44" s="274"/>
      <c r="P44" s="268"/>
      <c r="Q44" s="268"/>
      <c r="R44" s="286"/>
      <c r="S44" s="268" t="s">
        <v>21</v>
      </c>
      <c r="T44" s="6"/>
      <c r="U44" s="6"/>
      <c r="V44" s="6">
        <f t="shared" si="29"/>
        <v>0</v>
      </c>
      <c r="W44" s="6"/>
      <c r="X44" s="6"/>
      <c r="Y44" s="6"/>
      <c r="Z44" s="281"/>
      <c r="AA44" s="282"/>
    </row>
    <row r="45" spans="1:27">
      <c r="A45" s="153" t="s">
        <v>88</v>
      </c>
      <c r="B45" s="115"/>
      <c r="C45" s="115"/>
      <c r="D45" s="116">
        <f>B45*C45</f>
        <v>0</v>
      </c>
      <c r="E45" s="122" t="s">
        <v>19</v>
      </c>
      <c r="F45" s="92">
        <f>IF(B43="3-Panel",0.7,$B$125)</f>
        <v>0.45</v>
      </c>
      <c r="G45" s="92" t="e">
        <f ca="1">_xlfn.SWITCH(B43,$A$154,$F$154,$A$155,$F$155,$A$156,$F$156,$A$157,$F$157,$A$158,$F$158,$A$159,$F$159,$K$104,0)</f>
        <v>#NAME?</v>
      </c>
      <c r="H45" s="119" t="e">
        <f ca="1">F45+G45</f>
        <v>#NAME?</v>
      </c>
      <c r="I45" s="119" t="e">
        <f ca="1">H45*D45</f>
        <v>#NAME?</v>
      </c>
      <c r="J45" s="93" t="e">
        <f ca="1">IF(P20="Distributor",H45*F114,H45*F113)</f>
        <v>#NAME?</v>
      </c>
      <c r="K45" s="120" t="e">
        <f ca="1">J45*D45</f>
        <v>#NAME?</v>
      </c>
      <c r="L45" s="121" t="e">
        <f ca="1">IF(K45=0,0,(K45-I45)/K45)</f>
        <v>#NAME?</v>
      </c>
      <c r="M45" s="170"/>
      <c r="O45" s="274"/>
      <c r="P45" s="268"/>
      <c r="Q45" s="268"/>
      <c r="R45" s="286"/>
      <c r="S45" s="268" t="s">
        <v>21</v>
      </c>
      <c r="T45" s="6"/>
      <c r="U45" s="6"/>
      <c r="V45" s="6">
        <f t="shared" si="29"/>
        <v>0</v>
      </c>
      <c r="W45" s="6"/>
      <c r="X45" s="6"/>
      <c r="Y45" s="6"/>
      <c r="Z45" s="281"/>
      <c r="AA45" s="282"/>
    </row>
    <row r="46" spans="1:27" ht="15" thickBot="1">
      <c r="A46" s="95" t="s">
        <v>172</v>
      </c>
      <c r="B46" s="96"/>
      <c r="C46" s="96"/>
      <c r="D46" s="140">
        <f t="shared" ref="D46" si="30">B46*C46</f>
        <v>0</v>
      </c>
      <c r="E46" s="99" t="s">
        <v>19</v>
      </c>
      <c r="F46" s="100">
        <f>F45</f>
        <v>0.45</v>
      </c>
      <c r="G46" s="100" t="e">
        <f ca="1">G45</f>
        <v>#NAME?</v>
      </c>
      <c r="H46" s="101" t="e">
        <f t="shared" ref="H46" ca="1" si="31">F46+G46</f>
        <v>#NAME?</v>
      </c>
      <c r="I46" s="101" t="e">
        <f ca="1">H46*D46</f>
        <v>#NAME?</v>
      </c>
      <c r="J46" s="102" t="e">
        <f ca="1">IF(P20="Distributor",H46*F114,H46*F113)</f>
        <v>#NAME?</v>
      </c>
      <c r="K46" s="103" t="e">
        <f ca="1">J46*D46</f>
        <v>#NAME?</v>
      </c>
      <c r="L46" s="104" t="e">
        <f ca="1">IF(K46=0,0,(K46-I46)/K46)</f>
        <v>#NAME?</v>
      </c>
      <c r="M46" s="168"/>
      <c r="O46" s="274"/>
      <c r="P46" s="268"/>
      <c r="Q46" s="268"/>
      <c r="R46" s="286"/>
      <c r="S46" s="268" t="s">
        <v>21</v>
      </c>
      <c r="T46" s="6"/>
      <c r="U46" s="6"/>
      <c r="V46" s="6">
        <f t="shared" si="29"/>
        <v>0</v>
      </c>
      <c r="W46" s="6"/>
      <c r="X46" s="6"/>
      <c r="Y46" s="6"/>
      <c r="Z46" s="281"/>
      <c r="AA46" s="282"/>
    </row>
    <row r="47" spans="1:27" ht="21" thickBot="1">
      <c r="A47" s="82" t="s">
        <v>35</v>
      </c>
      <c r="B47" s="83" t="s">
        <v>22</v>
      </c>
      <c r="C47" s="83" t="s">
        <v>22</v>
      </c>
      <c r="D47" s="83" t="s">
        <v>22</v>
      </c>
      <c r="E47" s="83" t="s">
        <v>22</v>
      </c>
      <c r="F47" s="83" t="s">
        <v>22</v>
      </c>
      <c r="G47" s="83" t="s">
        <v>22</v>
      </c>
      <c r="H47" s="83" t="s">
        <v>22</v>
      </c>
      <c r="I47" s="83" t="s">
        <v>22</v>
      </c>
      <c r="J47" s="83" t="s">
        <v>22</v>
      </c>
      <c r="K47" s="83" t="s">
        <v>22</v>
      </c>
      <c r="L47" s="83" t="s">
        <v>22</v>
      </c>
      <c r="M47" s="84" t="s">
        <v>22</v>
      </c>
      <c r="O47" s="274"/>
      <c r="P47" s="268"/>
      <c r="Q47" s="268"/>
      <c r="R47" s="286"/>
      <c r="S47" s="268" t="s">
        <v>21</v>
      </c>
      <c r="T47" s="6"/>
      <c r="U47" s="6"/>
      <c r="V47" s="6">
        <f>T47+U47</f>
        <v>0</v>
      </c>
      <c r="W47" s="6"/>
      <c r="X47" s="6"/>
      <c r="Y47" s="6"/>
      <c r="Z47" s="281"/>
      <c r="AA47" s="282"/>
    </row>
    <row r="48" spans="1:27" ht="18.75" thickBot="1">
      <c r="A48" s="141" t="s">
        <v>90</v>
      </c>
      <c r="B48" s="106"/>
      <c r="C48" s="107" t="s">
        <v>89</v>
      </c>
      <c r="D48" s="108">
        <f>B48</f>
        <v>0</v>
      </c>
      <c r="E48" s="91" t="s">
        <v>42</v>
      </c>
      <c r="F48" s="142">
        <f>$B$127</f>
        <v>30</v>
      </c>
      <c r="G48" s="142">
        <f>$C$127</f>
        <v>0</v>
      </c>
      <c r="H48" s="143">
        <f>F48+G48</f>
        <v>30</v>
      </c>
      <c r="I48" s="109">
        <f>H48*B48</f>
        <v>0</v>
      </c>
      <c r="J48" s="111">
        <f t="shared" ref="J48:J57" si="32">IF(P$20="Distributor",H48*F$114,H48*F$113)</f>
        <v>60</v>
      </c>
      <c r="K48" s="144">
        <f>J48*D48</f>
        <v>0</v>
      </c>
      <c r="L48" s="94">
        <f t="shared" ref="L48:L52" si="33">IF(K48=0,0,(K48-I48)/K48)</f>
        <v>0</v>
      </c>
      <c r="M48" s="167"/>
      <c r="O48" s="278" t="s">
        <v>185</v>
      </c>
      <c r="P48" s="277">
        <f>SUM(Y37:Y47)</f>
        <v>0</v>
      </c>
    </row>
    <row r="49" spans="1:22" ht="18.75" thickBot="1">
      <c r="A49" s="114" t="s">
        <v>16</v>
      </c>
      <c r="B49" s="115" t="s">
        <v>246</v>
      </c>
      <c r="C49" s="115" t="s">
        <v>247</v>
      </c>
      <c r="D49" s="116">
        <f>Four_Side_Validation(B49,C49)*D59</f>
        <v>0</v>
      </c>
      <c r="E49" s="117" t="s">
        <v>20</v>
      </c>
      <c r="F49" s="118">
        <f>$B$128</f>
        <v>0.4</v>
      </c>
      <c r="G49" s="118">
        <f>$C$128</f>
        <v>0.35</v>
      </c>
      <c r="H49" s="119">
        <f t="shared" ref="H49:H52" si="34">F49+G49</f>
        <v>0.75</v>
      </c>
      <c r="I49" s="120">
        <f>Four_Side_Velcro_Cost(B49,C49,B45,C45,H49,D59)</f>
        <v>0</v>
      </c>
      <c r="J49" s="93">
        <f t="shared" si="32"/>
        <v>1.5</v>
      </c>
      <c r="K49" s="120">
        <f>Four_Side_Velcro_Sell(B49,C49,B45,C45,J49,D59)</f>
        <v>0</v>
      </c>
      <c r="L49" s="121">
        <f t="shared" si="33"/>
        <v>0</v>
      </c>
      <c r="M49" s="170"/>
      <c r="T49" s="235" t="s">
        <v>177</v>
      </c>
      <c r="U49" s="236"/>
    </row>
    <row r="50" spans="1:22" ht="18">
      <c r="A50" s="114" t="s">
        <v>17</v>
      </c>
      <c r="B50" s="115" t="s">
        <v>246</v>
      </c>
      <c r="C50" s="122" t="s">
        <v>89</v>
      </c>
      <c r="D50" s="116">
        <f>Chain_Validation(B50,C50)</f>
        <v>0</v>
      </c>
      <c r="E50" s="117" t="s">
        <v>20</v>
      </c>
      <c r="F50" s="118">
        <f>$B$129</f>
        <v>0</v>
      </c>
      <c r="G50" s="118">
        <f>$C$129</f>
        <v>0.63</v>
      </c>
      <c r="H50" s="119">
        <f t="shared" si="34"/>
        <v>0.63</v>
      </c>
      <c r="I50" s="120">
        <f>Chain_Cost(B50,B45,B46,H50)</f>
        <v>0</v>
      </c>
      <c r="J50" s="93">
        <f t="shared" si="32"/>
        <v>1.26</v>
      </c>
      <c r="K50" s="120">
        <f>Chain_Sell(B50,B45,B46,J50)</f>
        <v>0</v>
      </c>
      <c r="L50" s="121">
        <f t="shared" si="33"/>
        <v>0</v>
      </c>
      <c r="M50" s="170"/>
      <c r="Q50" s="214" t="s">
        <v>148</v>
      </c>
      <c r="R50" s="215" t="s">
        <v>150</v>
      </c>
      <c r="S50" s="237" t="s">
        <v>152</v>
      </c>
      <c r="T50" s="242" t="s">
        <v>151</v>
      </c>
      <c r="U50" s="234" t="s">
        <v>155</v>
      </c>
    </row>
    <row r="51" spans="1:22">
      <c r="A51" s="114" t="s">
        <v>18</v>
      </c>
      <c r="B51" s="115" t="s">
        <v>247</v>
      </c>
      <c r="C51" s="115" t="s">
        <v>246</v>
      </c>
      <c r="D51" s="116">
        <f>Four_Side_Validation(B51,C51)</f>
        <v>0</v>
      </c>
      <c r="E51" s="117" t="s">
        <v>20</v>
      </c>
      <c r="F51" s="118">
        <f>$B$130</f>
        <v>0</v>
      </c>
      <c r="G51" s="118">
        <f>$C$130</f>
        <v>2.2000000000000002</v>
      </c>
      <c r="H51" s="119">
        <f t="shared" si="34"/>
        <v>2.2000000000000002</v>
      </c>
      <c r="I51" s="120">
        <f>Four_Side_Cost(B51,C51,B45,C45,H51)</f>
        <v>0</v>
      </c>
      <c r="J51" s="93">
        <f t="shared" si="32"/>
        <v>4.4000000000000004</v>
      </c>
      <c r="K51" s="120">
        <f>Four_Side_Sell(B51,C51,B45,C45,J51)</f>
        <v>0</v>
      </c>
      <c r="L51" s="121">
        <f t="shared" si="33"/>
        <v>0</v>
      </c>
      <c r="M51" s="170"/>
      <c r="Q51" s="216" t="s">
        <v>174</v>
      </c>
      <c r="R51" s="217"/>
      <c r="S51" s="238"/>
      <c r="T51" s="243"/>
      <c r="U51" s="218"/>
    </row>
    <row r="52" spans="1:22">
      <c r="A52" s="114" t="s">
        <v>227</v>
      </c>
      <c r="B52" s="115"/>
      <c r="C52" s="122" t="s">
        <v>89</v>
      </c>
      <c r="D52" s="116">
        <f>B52</f>
        <v>0</v>
      </c>
      <c r="E52" s="117" t="s">
        <v>21</v>
      </c>
      <c r="F52" s="118">
        <f>$B$132</f>
        <v>0</v>
      </c>
      <c r="G52" s="118">
        <f>$C$132</f>
        <v>20</v>
      </c>
      <c r="H52" s="119">
        <f t="shared" si="34"/>
        <v>20</v>
      </c>
      <c r="I52" s="120">
        <f>H52*D52</f>
        <v>0</v>
      </c>
      <c r="J52" s="93">
        <f t="shared" si="32"/>
        <v>40</v>
      </c>
      <c r="K52" s="120">
        <f>J52*D52</f>
        <v>0</v>
      </c>
      <c r="L52" s="121">
        <f t="shared" si="33"/>
        <v>0</v>
      </c>
      <c r="M52" s="170"/>
      <c r="Q52" s="216">
        <v>0</v>
      </c>
      <c r="R52" s="121">
        <v>0</v>
      </c>
      <c r="S52" s="239">
        <f t="shared" ref="S52:S62" si="35">Q52*R52</f>
        <v>0</v>
      </c>
      <c r="T52" s="244">
        <f t="shared" ref="T52:T62" si="36">IF(Q52=0,0,$U$27+S52)</f>
        <v>0</v>
      </c>
      <c r="U52" s="219">
        <f t="shared" ref="U52:U62" si="37">IF(Q52=0,0,(Q52-T52)/Q52)</f>
        <v>0</v>
      </c>
    </row>
    <row r="53" spans="1:22">
      <c r="A53" s="114" t="s">
        <v>156</v>
      </c>
      <c r="B53" s="115" t="s">
        <v>248</v>
      </c>
      <c r="C53" s="122" t="s">
        <v>89</v>
      </c>
      <c r="D53" s="116">
        <f>IF(B53="Yes",1,0)</f>
        <v>0</v>
      </c>
      <c r="E53" s="117" t="s">
        <v>21</v>
      </c>
      <c r="F53" s="118">
        <f>B$137</f>
        <v>0</v>
      </c>
      <c r="G53" s="118">
        <f>C$137</f>
        <v>13</v>
      </c>
      <c r="H53" s="119">
        <f>F53+G53</f>
        <v>13</v>
      </c>
      <c r="I53" s="103">
        <f>IF(B53="Yes",H53*B45,0)</f>
        <v>0</v>
      </c>
      <c r="J53" s="93">
        <f t="shared" si="32"/>
        <v>26</v>
      </c>
      <c r="K53" s="103">
        <f>IF(B53="Yes",B45*J53,0)</f>
        <v>0</v>
      </c>
      <c r="L53" s="121">
        <f>IF(K53=0,0,(K53-I53)/K53)</f>
        <v>0</v>
      </c>
      <c r="M53" s="168"/>
      <c r="Q53" s="216">
        <v>0</v>
      </c>
      <c r="R53" s="121">
        <v>0</v>
      </c>
      <c r="S53" s="239">
        <f t="shared" si="35"/>
        <v>0</v>
      </c>
      <c r="T53" s="244">
        <f t="shared" si="36"/>
        <v>0</v>
      </c>
      <c r="U53" s="219">
        <f t="shared" si="37"/>
        <v>0</v>
      </c>
    </row>
    <row r="54" spans="1:22">
      <c r="A54" s="114" t="s">
        <v>43</v>
      </c>
      <c r="B54" s="115" t="s">
        <v>247</v>
      </c>
      <c r="C54" s="115" t="s">
        <v>247</v>
      </c>
      <c r="D54" s="116">
        <f>Four_Side_Validation(B54,C54)</f>
        <v>0</v>
      </c>
      <c r="E54" s="117" t="s">
        <v>20</v>
      </c>
      <c r="F54" s="118">
        <f>B$133</f>
        <v>0</v>
      </c>
      <c r="G54" s="118">
        <f>C$133</f>
        <v>0.7</v>
      </c>
      <c r="H54" s="119">
        <f t="shared" ref="H54:H57" si="38">F54+G54</f>
        <v>0.7</v>
      </c>
      <c r="I54" s="103">
        <f>Four_Side_Cost(B54,C54,B45,C45,H54)</f>
        <v>0</v>
      </c>
      <c r="J54" s="93">
        <f t="shared" si="32"/>
        <v>1.4</v>
      </c>
      <c r="K54" s="103">
        <f>Four_Side_Sell(B54,C54,B45,C45,J54)</f>
        <v>0</v>
      </c>
      <c r="L54" s="121">
        <f t="shared" ref="L54:L58" si="39">IF(K54=0,0,(K54-I54)/K54)</f>
        <v>0</v>
      </c>
      <c r="M54" s="170"/>
      <c r="Q54" s="216">
        <v>0</v>
      </c>
      <c r="R54" s="121">
        <v>0</v>
      </c>
      <c r="S54" s="239">
        <f t="shared" si="35"/>
        <v>0</v>
      </c>
      <c r="T54" s="244">
        <f t="shared" si="36"/>
        <v>0</v>
      </c>
      <c r="U54" s="219">
        <f t="shared" si="37"/>
        <v>0</v>
      </c>
    </row>
    <row r="55" spans="1:22">
      <c r="A55" s="309" t="s">
        <v>216</v>
      </c>
      <c r="B55" s="96" t="s">
        <v>147</v>
      </c>
      <c r="C55" s="122" t="s">
        <v>89</v>
      </c>
      <c r="D55" s="116">
        <f>IF(B55="Yes",B45,0)</f>
        <v>0</v>
      </c>
      <c r="E55" s="117" t="s">
        <v>20</v>
      </c>
      <c r="F55" s="118">
        <f>$B$134</f>
        <v>0</v>
      </c>
      <c r="G55" s="118">
        <f>$C$134</f>
        <v>1</v>
      </c>
      <c r="H55" s="101">
        <f t="shared" si="38"/>
        <v>1</v>
      </c>
      <c r="I55" s="103">
        <f t="shared" ref="I55:I56" si="40">H55*D55</f>
        <v>0</v>
      </c>
      <c r="J55" s="93">
        <f t="shared" si="32"/>
        <v>2</v>
      </c>
      <c r="K55" s="103">
        <f>J55*D55</f>
        <v>0</v>
      </c>
      <c r="L55" s="104">
        <f t="shared" si="39"/>
        <v>0</v>
      </c>
      <c r="M55" s="168"/>
      <c r="Q55" s="216">
        <v>0</v>
      </c>
      <c r="R55" s="121">
        <v>0</v>
      </c>
      <c r="S55" s="239">
        <f t="shared" si="35"/>
        <v>0</v>
      </c>
      <c r="T55" s="244">
        <f t="shared" si="36"/>
        <v>0</v>
      </c>
      <c r="U55" s="219">
        <f t="shared" si="37"/>
        <v>0</v>
      </c>
    </row>
    <row r="56" spans="1:22">
      <c r="A56" s="309" t="s">
        <v>217</v>
      </c>
      <c r="B56" s="96" t="s">
        <v>147</v>
      </c>
      <c r="C56" s="122" t="s">
        <v>89</v>
      </c>
      <c r="D56" s="116">
        <f>IF(B56="Yes",B45,0)</f>
        <v>0</v>
      </c>
      <c r="E56" s="117" t="s">
        <v>20</v>
      </c>
      <c r="F56" s="118">
        <f>$B$136</f>
        <v>0</v>
      </c>
      <c r="G56" s="118">
        <f>$C$136</f>
        <v>3</v>
      </c>
      <c r="H56" s="101">
        <f t="shared" si="38"/>
        <v>3</v>
      </c>
      <c r="I56" s="103">
        <f t="shared" si="40"/>
        <v>0</v>
      </c>
      <c r="J56" s="93">
        <f t="shared" si="32"/>
        <v>6</v>
      </c>
      <c r="K56" s="103">
        <f t="shared" ref="K56:K57" si="41">J56*D56</f>
        <v>0</v>
      </c>
      <c r="L56" s="104">
        <f t="shared" si="39"/>
        <v>0</v>
      </c>
      <c r="M56" s="168"/>
      <c r="Q56" s="216">
        <v>0</v>
      </c>
      <c r="R56" s="121">
        <v>0</v>
      </c>
      <c r="S56" s="239">
        <f t="shared" si="35"/>
        <v>0</v>
      </c>
      <c r="T56" s="244">
        <f t="shared" si="36"/>
        <v>0</v>
      </c>
      <c r="U56" s="219">
        <f t="shared" si="37"/>
        <v>0</v>
      </c>
    </row>
    <row r="57" spans="1:22">
      <c r="A57" s="309" t="s">
        <v>218</v>
      </c>
      <c r="B57" s="311"/>
      <c r="C57" s="122" t="s">
        <v>89</v>
      </c>
      <c r="D57" s="116">
        <f>B57</f>
        <v>0</v>
      </c>
      <c r="E57" s="310" t="s">
        <v>219</v>
      </c>
      <c r="F57" s="118">
        <f>$B$135</f>
        <v>0</v>
      </c>
      <c r="G57" s="118">
        <f>$C$135</f>
        <v>10</v>
      </c>
      <c r="H57" s="101">
        <f t="shared" si="38"/>
        <v>10</v>
      </c>
      <c r="I57" s="103">
        <f>H57*B57</f>
        <v>0</v>
      </c>
      <c r="J57" s="93">
        <f t="shared" si="32"/>
        <v>20</v>
      </c>
      <c r="K57" s="103">
        <f t="shared" si="41"/>
        <v>0</v>
      </c>
      <c r="L57" s="104">
        <f t="shared" si="39"/>
        <v>0</v>
      </c>
      <c r="M57" s="168"/>
      <c r="Q57" s="216">
        <v>0</v>
      </c>
      <c r="R57" s="121">
        <v>0</v>
      </c>
      <c r="S57" s="239">
        <f t="shared" si="35"/>
        <v>0</v>
      </c>
      <c r="T57" s="244">
        <f t="shared" si="36"/>
        <v>0</v>
      </c>
      <c r="U57" s="219">
        <f t="shared" si="37"/>
        <v>0</v>
      </c>
    </row>
    <row r="58" spans="1:22" ht="15" thickBot="1">
      <c r="A58" s="123" t="s">
        <v>93</v>
      </c>
      <c r="B58" s="124" t="s">
        <v>89</v>
      </c>
      <c r="C58" s="124" t="s">
        <v>89</v>
      </c>
      <c r="D58" s="124" t="s">
        <v>89</v>
      </c>
      <c r="E58" s="145" t="s">
        <v>21</v>
      </c>
      <c r="F58" s="124" t="s">
        <v>89</v>
      </c>
      <c r="G58" s="124" t="s">
        <v>89</v>
      </c>
      <c r="H58" s="124" t="s">
        <v>89</v>
      </c>
      <c r="I58" s="146"/>
      <c r="J58" s="127">
        <f>IF(P$20="Distributor",I58*F$114,I58*F$113)</f>
        <v>0</v>
      </c>
      <c r="K58" s="128">
        <f>J58</f>
        <v>0</v>
      </c>
      <c r="L58" s="147">
        <f t="shared" si="39"/>
        <v>0</v>
      </c>
      <c r="M58" s="171"/>
      <c r="Q58" s="216">
        <v>0</v>
      </c>
      <c r="R58" s="121">
        <v>0</v>
      </c>
      <c r="S58" s="239">
        <f t="shared" si="35"/>
        <v>0</v>
      </c>
      <c r="T58" s="244">
        <f t="shared" si="36"/>
        <v>0</v>
      </c>
      <c r="U58" s="219">
        <f t="shared" si="37"/>
        <v>0</v>
      </c>
    </row>
    <row r="59" spans="1:22" ht="18.75" thickBot="1">
      <c r="A59" s="130" t="s">
        <v>133</v>
      </c>
      <c r="B59" s="131" t="e">
        <f ca="1">SUM(K45+K46+K48+K49+K50+K51+K52+K54+K58+K53+K55+K56+K57)</f>
        <v>#NAME?</v>
      </c>
      <c r="C59" s="233" t="s">
        <v>44</v>
      </c>
      <c r="D59" s="264"/>
      <c r="E59" s="132"/>
      <c r="F59" s="132"/>
      <c r="G59" s="132"/>
      <c r="H59" s="132"/>
      <c r="I59" s="133"/>
      <c r="J59" s="133"/>
      <c r="K59" s="133"/>
      <c r="L59" s="132"/>
      <c r="M59" s="132"/>
      <c r="Q59" s="216">
        <v>0</v>
      </c>
      <c r="R59" s="121">
        <v>0</v>
      </c>
      <c r="S59" s="239">
        <f t="shared" si="35"/>
        <v>0</v>
      </c>
      <c r="T59" s="244">
        <f t="shared" si="36"/>
        <v>0</v>
      </c>
      <c r="U59" s="219">
        <f t="shared" si="37"/>
        <v>0</v>
      </c>
    </row>
    <row r="60" spans="1:22">
      <c r="C60" s="133"/>
      <c r="D60" s="133"/>
      <c r="E60" s="132"/>
      <c r="F60" s="132"/>
      <c r="G60" s="132"/>
      <c r="H60" s="132"/>
      <c r="I60" s="133"/>
      <c r="J60" s="133"/>
      <c r="K60" s="133"/>
      <c r="L60" s="132"/>
      <c r="M60" s="132"/>
      <c r="Q60" s="220">
        <v>0</v>
      </c>
      <c r="R60" s="104">
        <v>0</v>
      </c>
      <c r="S60" s="240">
        <f t="shared" si="35"/>
        <v>0</v>
      </c>
      <c r="T60" s="244">
        <f t="shared" si="36"/>
        <v>0</v>
      </c>
      <c r="U60" s="221">
        <f t="shared" si="37"/>
        <v>0</v>
      </c>
    </row>
    <row r="61" spans="1:22">
      <c r="C61" s="133"/>
      <c r="D61" s="133"/>
      <c r="E61" s="132"/>
      <c r="F61" s="132"/>
      <c r="G61" s="132"/>
      <c r="H61" s="132"/>
      <c r="I61" s="133"/>
      <c r="J61" s="133"/>
      <c r="K61" s="133"/>
      <c r="L61" s="132"/>
      <c r="M61" s="132"/>
      <c r="Q61" s="216">
        <v>0</v>
      </c>
      <c r="R61" s="121">
        <v>0</v>
      </c>
      <c r="S61" s="239">
        <f t="shared" si="35"/>
        <v>0</v>
      </c>
      <c r="T61" s="244">
        <f t="shared" si="36"/>
        <v>0</v>
      </c>
      <c r="U61" s="219">
        <f t="shared" si="37"/>
        <v>0</v>
      </c>
    </row>
    <row r="62" spans="1:22" ht="15" thickBot="1">
      <c r="A62" s="133"/>
      <c r="B62" s="135"/>
      <c r="C62" s="133"/>
      <c r="D62" s="136"/>
      <c r="E62" s="132"/>
      <c r="F62" s="132"/>
      <c r="G62" s="132"/>
      <c r="H62" s="132"/>
      <c r="I62" s="133"/>
      <c r="J62" s="133"/>
      <c r="K62" s="133"/>
      <c r="L62" s="132"/>
      <c r="M62" s="132"/>
      <c r="Q62" s="222">
        <v>0</v>
      </c>
      <c r="R62" s="147">
        <v>0</v>
      </c>
      <c r="S62" s="241">
        <f t="shared" si="35"/>
        <v>0</v>
      </c>
      <c r="T62" s="245">
        <f t="shared" si="36"/>
        <v>0</v>
      </c>
      <c r="U62" s="223">
        <f t="shared" si="37"/>
        <v>0</v>
      </c>
    </row>
    <row r="63" spans="1:22" ht="18.75" thickBot="1">
      <c r="A63" s="137" t="s">
        <v>14</v>
      </c>
      <c r="B63" s="302" t="s">
        <v>249</v>
      </c>
      <c r="C63" s="132"/>
      <c r="D63" s="132"/>
      <c r="E63" s="132"/>
      <c r="F63" s="132"/>
      <c r="G63" s="132"/>
      <c r="H63" s="132"/>
      <c r="I63" s="132"/>
      <c r="J63" s="132"/>
      <c r="K63" s="132"/>
      <c r="L63" s="132"/>
      <c r="M63" s="132"/>
      <c r="R63" s="133"/>
      <c r="S63" s="133"/>
      <c r="T63" s="133"/>
      <c r="U63" s="133"/>
      <c r="V63" s="133"/>
    </row>
    <row r="64" spans="1:22" ht="21" thickBot="1">
      <c r="A64" s="82" t="s">
        <v>34</v>
      </c>
      <c r="B64" s="83" t="s">
        <v>0</v>
      </c>
      <c r="C64" s="84" t="s">
        <v>1</v>
      </c>
      <c r="D64" s="138" t="s">
        <v>2</v>
      </c>
      <c r="E64" s="83" t="s">
        <v>3</v>
      </c>
      <c r="F64" s="83" t="s">
        <v>41</v>
      </c>
      <c r="G64" s="83" t="s">
        <v>4</v>
      </c>
      <c r="H64" s="83" t="s">
        <v>221</v>
      </c>
      <c r="I64" s="83" t="s">
        <v>53</v>
      </c>
      <c r="J64" s="83" t="s">
        <v>7</v>
      </c>
      <c r="K64" s="83" t="s">
        <v>130</v>
      </c>
      <c r="L64" s="83" t="s">
        <v>8</v>
      </c>
      <c r="M64" s="86" t="s">
        <v>61</v>
      </c>
      <c r="R64" s="133"/>
      <c r="S64" s="133"/>
      <c r="T64" s="133"/>
      <c r="U64" s="133"/>
      <c r="V64" s="133"/>
    </row>
    <row r="65" spans="1:22" ht="15" thickBot="1">
      <c r="A65" s="87" t="s">
        <v>87</v>
      </c>
      <c r="B65" s="88"/>
      <c r="C65" s="88"/>
      <c r="D65" s="139">
        <f>B65*C65</f>
        <v>0</v>
      </c>
      <c r="E65" s="91" t="s">
        <v>19</v>
      </c>
      <c r="F65" s="92">
        <f>IF(B63="3-Panel",0.7,$B$125)</f>
        <v>0.45</v>
      </c>
      <c r="G65" s="92" t="e">
        <f ca="1">_xlfn.SWITCH(B63,$A$154,$F$154,$A$155,$F$155,$A$156,$F$156,$A$157,$F$157,$A$158,$F$158,$A$159,$F$159,$K$104,0)</f>
        <v>#NAME?</v>
      </c>
      <c r="H65" s="92" t="e">
        <f ca="1">F65+G65</f>
        <v>#NAME?</v>
      </c>
      <c r="I65" s="92" t="e">
        <f ca="1">H65*D65</f>
        <v>#NAME?</v>
      </c>
      <c r="J65" s="93" t="e">
        <f ca="1">IF(P20="Distributor",H65*F114,H65*F113)</f>
        <v>#NAME?</v>
      </c>
      <c r="K65" s="93" t="e">
        <f ca="1">J65*D65</f>
        <v>#NAME?</v>
      </c>
      <c r="L65" s="94" t="e">
        <f ca="1">IF(K65=0,0,(K65-I65)/K65)</f>
        <v>#NAME?</v>
      </c>
      <c r="M65" s="167"/>
      <c r="R65" s="133"/>
      <c r="S65" s="133"/>
      <c r="T65" s="133"/>
      <c r="U65" s="133"/>
      <c r="V65" s="133"/>
    </row>
    <row r="66" spans="1:22" ht="18.75" thickBot="1">
      <c r="A66" s="95" t="s">
        <v>15</v>
      </c>
      <c r="B66" s="96"/>
      <c r="C66" s="96"/>
      <c r="D66" s="140">
        <f t="shared" ref="D66" si="42">B66*C66</f>
        <v>0</v>
      </c>
      <c r="E66" s="99" t="s">
        <v>19</v>
      </c>
      <c r="F66" s="100">
        <f>F65</f>
        <v>0.45</v>
      </c>
      <c r="G66" s="100" t="e">
        <f ca="1">G65</f>
        <v>#NAME?</v>
      </c>
      <c r="H66" s="101" t="e">
        <f t="shared" ref="H66" ca="1" si="43">F66+G66</f>
        <v>#NAME?</v>
      </c>
      <c r="I66" s="101" t="e">
        <f ca="1">H66*D66</f>
        <v>#NAME?</v>
      </c>
      <c r="J66" s="102" t="e">
        <f ca="1">IF(P20="Distributor",H66*F114,H66*F113)</f>
        <v>#NAME?</v>
      </c>
      <c r="K66" s="103" t="e">
        <f ca="1">J66*D66</f>
        <v>#NAME?</v>
      </c>
      <c r="L66" s="104" t="e">
        <f ca="1">IF(K66=0,0,(K66-I66)/K66)</f>
        <v>#NAME?</v>
      </c>
      <c r="M66" s="168"/>
      <c r="T66" s="235" t="s">
        <v>178</v>
      </c>
      <c r="U66" s="236"/>
      <c r="V66" s="133"/>
    </row>
    <row r="67" spans="1:22" ht="21" thickBot="1">
      <c r="A67" s="82" t="s">
        <v>35</v>
      </c>
      <c r="B67" s="83"/>
      <c r="C67" s="83"/>
      <c r="D67" s="83" t="s">
        <v>22</v>
      </c>
      <c r="E67" s="83" t="s">
        <v>22</v>
      </c>
      <c r="F67" s="83" t="s">
        <v>22</v>
      </c>
      <c r="G67" s="83" t="s">
        <v>22</v>
      </c>
      <c r="H67" s="83" t="s">
        <v>22</v>
      </c>
      <c r="I67" s="83" t="s">
        <v>22</v>
      </c>
      <c r="J67" s="83" t="s">
        <v>22</v>
      </c>
      <c r="K67" s="83" t="s">
        <v>22</v>
      </c>
      <c r="L67" s="83" t="s">
        <v>22</v>
      </c>
      <c r="M67" s="84" t="s">
        <v>22</v>
      </c>
      <c r="Q67" s="214" t="s">
        <v>148</v>
      </c>
      <c r="R67" s="215" t="s">
        <v>150</v>
      </c>
      <c r="S67" s="237" t="s">
        <v>152</v>
      </c>
      <c r="T67" s="242" t="s">
        <v>151</v>
      </c>
      <c r="U67" s="234" t="s">
        <v>155</v>
      </c>
    </row>
    <row r="68" spans="1:22">
      <c r="A68" s="141" t="s">
        <v>90</v>
      </c>
      <c r="B68" s="106"/>
      <c r="C68" s="107" t="s">
        <v>89</v>
      </c>
      <c r="D68" s="108">
        <f>B68</f>
        <v>0</v>
      </c>
      <c r="E68" s="91" t="s">
        <v>42</v>
      </c>
      <c r="F68" s="142">
        <f>$B$127</f>
        <v>30</v>
      </c>
      <c r="G68" s="142">
        <f>$C$127</f>
        <v>0</v>
      </c>
      <c r="H68" s="143">
        <f>F68+G68</f>
        <v>30</v>
      </c>
      <c r="I68" s="109">
        <f>H68*B68</f>
        <v>0</v>
      </c>
      <c r="J68" s="111">
        <f t="shared" ref="J68:J77" si="44">IF(P$20="Distributor",H68*F$114,H68*F$113)</f>
        <v>60</v>
      </c>
      <c r="K68" s="144">
        <f>J68*D68</f>
        <v>0</v>
      </c>
      <c r="L68" s="94">
        <f t="shared" ref="L68:L72" si="45">IF(K68=0,0,(K68-I68)/K68)</f>
        <v>0</v>
      </c>
      <c r="M68" s="167"/>
      <c r="Q68" s="216" t="s">
        <v>174</v>
      </c>
      <c r="R68" s="217"/>
      <c r="S68" s="238"/>
      <c r="T68" s="243"/>
      <c r="U68" s="218"/>
    </row>
    <row r="69" spans="1:22">
      <c r="A69" s="114" t="s">
        <v>16</v>
      </c>
      <c r="B69" s="115" t="s">
        <v>246</v>
      </c>
      <c r="C69" s="115" t="s">
        <v>246</v>
      </c>
      <c r="D69" s="116">
        <f>Four_Side_Validation(B69,C69)*D79</f>
        <v>0</v>
      </c>
      <c r="E69" s="117" t="s">
        <v>20</v>
      </c>
      <c r="F69" s="118">
        <f>$B$128</f>
        <v>0.4</v>
      </c>
      <c r="G69" s="118">
        <f>$C$128</f>
        <v>0.35</v>
      </c>
      <c r="H69" s="119">
        <f t="shared" ref="H69:H72" si="46">F69+G69</f>
        <v>0.75</v>
      </c>
      <c r="I69" s="120">
        <f>Four_Side_Velcro_Cost(B69,C69,B65,C65,H69,D79)</f>
        <v>0</v>
      </c>
      <c r="J69" s="93">
        <f t="shared" si="44"/>
        <v>1.5</v>
      </c>
      <c r="K69" s="120">
        <f>Four_Side_Velcro_Sell(B69,C69,B65,C65,J69,D79)</f>
        <v>0</v>
      </c>
      <c r="L69" s="121">
        <f t="shared" si="45"/>
        <v>0</v>
      </c>
      <c r="M69" s="170"/>
      <c r="Q69" s="216">
        <v>0</v>
      </c>
      <c r="R69" s="121">
        <v>0</v>
      </c>
      <c r="S69" s="239">
        <f t="shared" ref="S69:S79" si="47">Q69*R69</f>
        <v>0</v>
      </c>
      <c r="T69" s="244">
        <f t="shared" ref="T69:T79" si="48">IF(Q69=0,0,$U$27+S69)</f>
        <v>0</v>
      </c>
      <c r="U69" s="219">
        <f t="shared" ref="U69:U79" si="49">IF(Q69=0,0,(Q69-T69)/Q69)</f>
        <v>0</v>
      </c>
    </row>
    <row r="70" spans="1:22">
      <c r="A70" s="114" t="s">
        <v>17</v>
      </c>
      <c r="B70" s="115" t="s">
        <v>247</v>
      </c>
      <c r="C70" s="122" t="s">
        <v>89</v>
      </c>
      <c r="D70" s="116">
        <f>Chain_Validation(B70,C70)</f>
        <v>0</v>
      </c>
      <c r="E70" s="117" t="s">
        <v>20</v>
      </c>
      <c r="F70" s="118">
        <f>$B$129</f>
        <v>0</v>
      </c>
      <c r="G70" s="118">
        <f>$C$129</f>
        <v>0.63</v>
      </c>
      <c r="H70" s="119">
        <f t="shared" si="46"/>
        <v>0.63</v>
      </c>
      <c r="I70" s="120">
        <f>Chain_Cost(B70,B65,B66,H70)</f>
        <v>0</v>
      </c>
      <c r="J70" s="93">
        <f t="shared" si="44"/>
        <v>1.26</v>
      </c>
      <c r="K70" s="120">
        <f>Chain_Sell(B70,B65,B66,J70)</f>
        <v>0</v>
      </c>
      <c r="L70" s="121">
        <f t="shared" si="45"/>
        <v>0</v>
      </c>
      <c r="M70" s="170"/>
      <c r="Q70" s="216">
        <v>0</v>
      </c>
      <c r="R70" s="121">
        <v>0</v>
      </c>
      <c r="S70" s="239">
        <f t="shared" si="47"/>
        <v>0</v>
      </c>
      <c r="T70" s="244">
        <f t="shared" si="48"/>
        <v>0</v>
      </c>
      <c r="U70" s="219">
        <f t="shared" si="49"/>
        <v>0</v>
      </c>
    </row>
    <row r="71" spans="1:22">
      <c r="A71" s="114" t="s">
        <v>18</v>
      </c>
      <c r="B71" s="115" t="s">
        <v>247</v>
      </c>
      <c r="C71" s="115" t="s">
        <v>247</v>
      </c>
      <c r="D71" s="116">
        <f>Four_Side_Validation(B71,C71)</f>
        <v>0</v>
      </c>
      <c r="E71" s="117" t="s">
        <v>20</v>
      </c>
      <c r="F71" s="118">
        <f>$B$130</f>
        <v>0</v>
      </c>
      <c r="G71" s="118">
        <f>$C$130</f>
        <v>2.2000000000000002</v>
      </c>
      <c r="H71" s="119">
        <f t="shared" si="46"/>
        <v>2.2000000000000002</v>
      </c>
      <c r="I71" s="120">
        <f>Four_Side_Cost(B71,C71,B65,C65,H71)</f>
        <v>0</v>
      </c>
      <c r="J71" s="93">
        <f t="shared" si="44"/>
        <v>4.4000000000000004</v>
      </c>
      <c r="K71" s="120">
        <f>Four_Side_Sell(B71,C71,B65,C65,J71)</f>
        <v>0</v>
      </c>
      <c r="L71" s="121">
        <f t="shared" si="45"/>
        <v>0</v>
      </c>
      <c r="M71" s="170"/>
      <c r="Q71" s="216">
        <v>0</v>
      </c>
      <c r="R71" s="121">
        <v>0</v>
      </c>
      <c r="S71" s="239">
        <f t="shared" si="47"/>
        <v>0</v>
      </c>
      <c r="T71" s="244">
        <f t="shared" si="48"/>
        <v>0</v>
      </c>
      <c r="U71" s="219">
        <f t="shared" si="49"/>
        <v>0</v>
      </c>
    </row>
    <row r="72" spans="1:22">
      <c r="A72" s="114" t="s">
        <v>227</v>
      </c>
      <c r="B72" s="115"/>
      <c r="C72" s="122" t="s">
        <v>89</v>
      </c>
      <c r="D72" s="116">
        <f>B72</f>
        <v>0</v>
      </c>
      <c r="E72" s="117" t="s">
        <v>21</v>
      </c>
      <c r="F72" s="118">
        <f>$B$132</f>
        <v>0</v>
      </c>
      <c r="G72" s="118">
        <f>$C$132</f>
        <v>20</v>
      </c>
      <c r="H72" s="119">
        <f t="shared" si="46"/>
        <v>20</v>
      </c>
      <c r="I72" s="120">
        <f>H72*D72</f>
        <v>0</v>
      </c>
      <c r="J72" s="93">
        <f t="shared" si="44"/>
        <v>40</v>
      </c>
      <c r="K72" s="120">
        <f>J72*D72</f>
        <v>0</v>
      </c>
      <c r="L72" s="121">
        <f t="shared" si="45"/>
        <v>0</v>
      </c>
      <c r="M72" s="170"/>
      <c r="Q72" s="216">
        <v>0</v>
      </c>
      <c r="R72" s="121">
        <v>0</v>
      </c>
      <c r="S72" s="239">
        <f t="shared" si="47"/>
        <v>0</v>
      </c>
      <c r="T72" s="244">
        <f t="shared" si="48"/>
        <v>0</v>
      </c>
      <c r="U72" s="219">
        <f t="shared" si="49"/>
        <v>0</v>
      </c>
    </row>
    <row r="73" spans="1:22">
      <c r="A73" s="114" t="s">
        <v>156</v>
      </c>
      <c r="B73" s="115" t="s">
        <v>248</v>
      </c>
      <c r="C73" s="122" t="s">
        <v>89</v>
      </c>
      <c r="D73" s="116">
        <f>IF(B73="Yes",1,0)</f>
        <v>0</v>
      </c>
      <c r="E73" s="117" t="s">
        <v>21</v>
      </c>
      <c r="F73" s="118">
        <f>B$137</f>
        <v>0</v>
      </c>
      <c r="G73" s="118">
        <f>C$137</f>
        <v>13</v>
      </c>
      <c r="H73" s="119">
        <f>F73+G73</f>
        <v>13</v>
      </c>
      <c r="I73" s="103">
        <f>IF(B73="Yes",H73*B65,0)</f>
        <v>0</v>
      </c>
      <c r="J73" s="93">
        <f t="shared" si="44"/>
        <v>26</v>
      </c>
      <c r="K73" s="103">
        <f>IF(B73="Yes",B65*J73,0)</f>
        <v>0</v>
      </c>
      <c r="L73" s="121">
        <f>IF(K73=0,0,(K73-I73)/K73)</f>
        <v>0</v>
      </c>
      <c r="M73" s="168"/>
      <c r="Q73" s="216">
        <v>0</v>
      </c>
      <c r="R73" s="121">
        <v>0</v>
      </c>
      <c r="S73" s="239">
        <f t="shared" si="47"/>
        <v>0</v>
      </c>
      <c r="T73" s="244">
        <f t="shared" si="48"/>
        <v>0</v>
      </c>
      <c r="U73" s="219">
        <f t="shared" si="49"/>
        <v>0</v>
      </c>
    </row>
    <row r="74" spans="1:22">
      <c r="A74" s="114" t="s">
        <v>43</v>
      </c>
      <c r="B74" s="115" t="s">
        <v>247</v>
      </c>
      <c r="C74" s="115" t="s">
        <v>247</v>
      </c>
      <c r="D74" s="116">
        <f>Four_Side_Validation(B74,C74)</f>
        <v>0</v>
      </c>
      <c r="E74" s="117" t="s">
        <v>20</v>
      </c>
      <c r="F74" s="118">
        <f>B$133</f>
        <v>0</v>
      </c>
      <c r="G74" s="118">
        <f>C$133</f>
        <v>0.7</v>
      </c>
      <c r="H74" s="119">
        <f t="shared" ref="H74:H77" si="50">F74+G74</f>
        <v>0.7</v>
      </c>
      <c r="I74" s="103">
        <f>Four_Side_Cost(B74,C74,B65,C65,H74)</f>
        <v>0</v>
      </c>
      <c r="J74" s="93">
        <f t="shared" si="44"/>
        <v>1.4</v>
      </c>
      <c r="K74" s="103">
        <f>Four_Side_Sell(B74,C74,B65,C65,J74)</f>
        <v>0</v>
      </c>
      <c r="L74" s="121">
        <f t="shared" ref="L74:L78" si="51">IF(K74=0,0,(K74-I74)/K74)</f>
        <v>0</v>
      </c>
      <c r="M74" s="170"/>
      <c r="Q74" s="216">
        <v>0</v>
      </c>
      <c r="R74" s="121">
        <v>0</v>
      </c>
      <c r="S74" s="239">
        <f t="shared" si="47"/>
        <v>0</v>
      </c>
      <c r="T74" s="244">
        <f t="shared" si="48"/>
        <v>0</v>
      </c>
      <c r="U74" s="219">
        <f t="shared" si="49"/>
        <v>0</v>
      </c>
    </row>
    <row r="75" spans="1:22">
      <c r="A75" s="309" t="s">
        <v>216</v>
      </c>
      <c r="B75" s="96" t="s">
        <v>147</v>
      </c>
      <c r="C75" s="122" t="s">
        <v>89</v>
      </c>
      <c r="D75" s="116">
        <f>IF(B75="Yes",B65,0)</f>
        <v>0</v>
      </c>
      <c r="E75" s="117" t="s">
        <v>20</v>
      </c>
      <c r="F75" s="118">
        <f>$B$134</f>
        <v>0</v>
      </c>
      <c r="G75" s="118">
        <f>$C$134</f>
        <v>1</v>
      </c>
      <c r="H75" s="101">
        <f t="shared" si="50"/>
        <v>1</v>
      </c>
      <c r="I75" s="103">
        <f t="shared" ref="I75:I76" si="52">H75*D75</f>
        <v>0</v>
      </c>
      <c r="J75" s="93">
        <f t="shared" si="44"/>
        <v>2</v>
      </c>
      <c r="K75" s="103">
        <f>J75*D75</f>
        <v>0</v>
      </c>
      <c r="L75" s="104">
        <f t="shared" si="51"/>
        <v>0</v>
      </c>
      <c r="M75" s="168"/>
      <c r="Q75" s="216">
        <v>0</v>
      </c>
      <c r="R75" s="121">
        <v>0</v>
      </c>
      <c r="S75" s="239">
        <f t="shared" si="47"/>
        <v>0</v>
      </c>
      <c r="T75" s="244">
        <f t="shared" si="48"/>
        <v>0</v>
      </c>
      <c r="U75" s="219">
        <f t="shared" si="49"/>
        <v>0</v>
      </c>
    </row>
    <row r="76" spans="1:22">
      <c r="A76" s="309" t="s">
        <v>217</v>
      </c>
      <c r="B76" s="96" t="s">
        <v>147</v>
      </c>
      <c r="C76" s="122" t="s">
        <v>89</v>
      </c>
      <c r="D76" s="116">
        <f>IF(B76="Yes",B65,0)</f>
        <v>0</v>
      </c>
      <c r="E76" s="117" t="s">
        <v>20</v>
      </c>
      <c r="F76" s="118">
        <f>$B$136</f>
        <v>0</v>
      </c>
      <c r="G76" s="118">
        <f>$C$136</f>
        <v>3</v>
      </c>
      <c r="H76" s="101">
        <f t="shared" si="50"/>
        <v>3</v>
      </c>
      <c r="I76" s="103">
        <f t="shared" si="52"/>
        <v>0</v>
      </c>
      <c r="J76" s="93">
        <f t="shared" si="44"/>
        <v>6</v>
      </c>
      <c r="K76" s="103">
        <f t="shared" ref="K76:K77" si="53">J76*D76</f>
        <v>0</v>
      </c>
      <c r="L76" s="104">
        <f t="shared" si="51"/>
        <v>0</v>
      </c>
      <c r="M76" s="168"/>
      <c r="Q76" s="216">
        <v>0</v>
      </c>
      <c r="R76" s="121">
        <v>0</v>
      </c>
      <c r="S76" s="239">
        <f t="shared" si="47"/>
        <v>0</v>
      </c>
      <c r="T76" s="244">
        <f t="shared" si="48"/>
        <v>0</v>
      </c>
      <c r="U76" s="219">
        <f t="shared" si="49"/>
        <v>0</v>
      </c>
    </row>
    <row r="77" spans="1:22">
      <c r="A77" s="309" t="s">
        <v>218</v>
      </c>
      <c r="B77" s="311"/>
      <c r="C77" s="122" t="s">
        <v>89</v>
      </c>
      <c r="D77" s="116">
        <f>B77</f>
        <v>0</v>
      </c>
      <c r="E77" s="310" t="s">
        <v>219</v>
      </c>
      <c r="F77" s="118">
        <f>$B$135</f>
        <v>0</v>
      </c>
      <c r="G77" s="118">
        <f>$C$135</f>
        <v>10</v>
      </c>
      <c r="H77" s="101">
        <f t="shared" si="50"/>
        <v>10</v>
      </c>
      <c r="I77" s="103">
        <f>H77*B77</f>
        <v>0</v>
      </c>
      <c r="J77" s="93">
        <f t="shared" si="44"/>
        <v>20</v>
      </c>
      <c r="K77" s="103">
        <f t="shared" si="53"/>
        <v>0</v>
      </c>
      <c r="L77" s="104">
        <f t="shared" si="51"/>
        <v>0</v>
      </c>
      <c r="M77" s="168"/>
      <c r="Q77" s="220">
        <v>0</v>
      </c>
      <c r="R77" s="104">
        <v>0</v>
      </c>
      <c r="S77" s="240">
        <f t="shared" si="47"/>
        <v>0</v>
      </c>
      <c r="T77" s="244">
        <f t="shared" si="48"/>
        <v>0</v>
      </c>
      <c r="U77" s="221">
        <f t="shared" si="49"/>
        <v>0</v>
      </c>
    </row>
    <row r="78" spans="1:22" ht="15" thickBot="1">
      <c r="A78" s="123" t="s">
        <v>93</v>
      </c>
      <c r="B78" s="124" t="s">
        <v>89</v>
      </c>
      <c r="C78" s="124" t="s">
        <v>89</v>
      </c>
      <c r="D78" s="124" t="s">
        <v>89</v>
      </c>
      <c r="E78" s="145" t="s">
        <v>21</v>
      </c>
      <c r="F78" s="124" t="s">
        <v>89</v>
      </c>
      <c r="G78" s="124" t="s">
        <v>89</v>
      </c>
      <c r="H78" s="124" t="s">
        <v>89</v>
      </c>
      <c r="I78" s="146"/>
      <c r="J78" s="127">
        <f>IF(P$20="Distributor",I78*F$114,I78*F$113)</f>
        <v>0</v>
      </c>
      <c r="K78" s="128">
        <f>J78</f>
        <v>0</v>
      </c>
      <c r="L78" s="147">
        <f t="shared" si="51"/>
        <v>0</v>
      </c>
      <c r="M78" s="171"/>
      <c r="Q78" s="216">
        <v>0</v>
      </c>
      <c r="R78" s="121">
        <v>0</v>
      </c>
      <c r="S78" s="239">
        <f t="shared" si="47"/>
        <v>0</v>
      </c>
      <c r="T78" s="244">
        <f t="shared" si="48"/>
        <v>0</v>
      </c>
      <c r="U78" s="219">
        <f t="shared" si="49"/>
        <v>0</v>
      </c>
    </row>
    <row r="79" spans="1:22" ht="18.75" thickBot="1">
      <c r="A79" s="130" t="s">
        <v>134</v>
      </c>
      <c r="B79" s="131" t="e">
        <f ca="1">SUM(K65+K66+K68+K69+K70+K71+K72+K74+K78+K73+K75+K76+K77)</f>
        <v>#NAME?</v>
      </c>
      <c r="C79" s="233" t="s">
        <v>186</v>
      </c>
      <c r="D79" s="264"/>
      <c r="E79" s="132"/>
      <c r="F79" s="132"/>
      <c r="G79" s="132"/>
      <c r="H79" s="132"/>
      <c r="I79" s="133"/>
      <c r="J79" s="133"/>
      <c r="K79" s="133"/>
      <c r="L79" s="132"/>
      <c r="M79" s="132"/>
      <c r="Q79" s="222">
        <v>0</v>
      </c>
      <c r="R79" s="147">
        <v>0</v>
      </c>
      <c r="S79" s="241">
        <f t="shared" si="47"/>
        <v>0</v>
      </c>
      <c r="T79" s="245">
        <f t="shared" si="48"/>
        <v>0</v>
      </c>
      <c r="U79" s="223">
        <f t="shared" si="49"/>
        <v>0</v>
      </c>
    </row>
    <row r="80" spans="1:22">
      <c r="C80" s="133"/>
      <c r="D80" s="133"/>
      <c r="E80" s="132"/>
      <c r="F80" s="132"/>
      <c r="G80" s="132"/>
      <c r="H80" s="132"/>
      <c r="I80" s="133"/>
      <c r="J80" s="133"/>
      <c r="K80" s="133"/>
      <c r="L80" s="132"/>
      <c r="M80" s="132"/>
    </row>
    <row r="81" spans="1:13">
      <c r="C81" s="133"/>
      <c r="D81" s="133"/>
      <c r="E81" s="132"/>
      <c r="F81" s="132"/>
      <c r="G81" s="132"/>
      <c r="H81" s="132"/>
      <c r="I81" s="133"/>
      <c r="J81" s="133"/>
      <c r="K81" s="133"/>
      <c r="L81" s="132"/>
      <c r="M81" s="132"/>
    </row>
    <row r="82" spans="1:13" ht="15" thickBot="1">
      <c r="A82" s="133"/>
      <c r="B82" s="133"/>
      <c r="C82" s="133"/>
      <c r="D82" s="133"/>
      <c r="E82" s="133"/>
      <c r="F82" s="133"/>
      <c r="G82" s="133"/>
      <c r="H82" s="133"/>
      <c r="I82" s="133"/>
      <c r="J82" s="133"/>
      <c r="K82" s="133"/>
      <c r="L82" s="133"/>
      <c r="M82" s="133"/>
    </row>
    <row r="83" spans="1:13" ht="18.75" thickBot="1">
      <c r="A83" s="137" t="s">
        <v>62</v>
      </c>
      <c r="B83" s="302" t="s">
        <v>245</v>
      </c>
      <c r="C83" s="132"/>
      <c r="D83" s="132"/>
      <c r="E83" s="132"/>
      <c r="F83" s="132"/>
      <c r="G83" s="132"/>
      <c r="H83" s="132"/>
      <c r="I83" s="132"/>
      <c r="J83" s="132"/>
      <c r="K83" s="132"/>
      <c r="L83" s="132"/>
      <c r="M83" s="132"/>
    </row>
    <row r="84" spans="1:13" ht="21" thickBot="1">
      <c r="A84" s="82" t="s">
        <v>34</v>
      </c>
      <c r="B84" s="83" t="s">
        <v>0</v>
      </c>
      <c r="C84" s="84" t="s">
        <v>1</v>
      </c>
      <c r="D84" s="138" t="s">
        <v>2</v>
      </c>
      <c r="E84" s="83" t="s">
        <v>3</v>
      </c>
      <c r="F84" s="83" t="s">
        <v>41</v>
      </c>
      <c r="G84" s="83" t="s">
        <v>4</v>
      </c>
      <c r="H84" s="83" t="s">
        <v>221</v>
      </c>
      <c r="I84" s="83" t="s">
        <v>53</v>
      </c>
      <c r="J84" s="83" t="s">
        <v>7</v>
      </c>
      <c r="K84" s="83" t="s">
        <v>130</v>
      </c>
      <c r="L84" s="83" t="s">
        <v>8</v>
      </c>
      <c r="M84" s="86" t="s">
        <v>61</v>
      </c>
    </row>
    <row r="85" spans="1:13">
      <c r="A85" s="87" t="s">
        <v>86</v>
      </c>
      <c r="B85" s="88"/>
      <c r="C85" s="88"/>
      <c r="D85" s="139">
        <f>B85*C85</f>
        <v>0</v>
      </c>
      <c r="E85" s="91" t="s">
        <v>19</v>
      </c>
      <c r="F85" s="92">
        <f>IF(B83="3-Panel",0.7,$B$125)</f>
        <v>0.45</v>
      </c>
      <c r="G85" s="92" t="e">
        <f ca="1">_xlfn.SWITCH(B83,$A$154,$F$154,$A$155,$F$155,$A$156,$F$156,$A$157,$F$157,$A$158,$F$158,$A$159,$F$159,$K$104,0)</f>
        <v>#NAME?</v>
      </c>
      <c r="H85" s="92" t="e">
        <f ca="1">F85+G85</f>
        <v>#NAME?</v>
      </c>
      <c r="I85" s="92" t="e">
        <f ca="1">H85*D85</f>
        <v>#NAME?</v>
      </c>
      <c r="J85" s="93" t="e">
        <f ca="1">IF(P20="Distributor",H85*F114,H85*F113)</f>
        <v>#NAME?</v>
      </c>
      <c r="K85" s="93" t="e">
        <f ca="1">J85*D85</f>
        <v>#NAME?</v>
      </c>
      <c r="L85" s="94" t="e">
        <f ca="1">IF(K85=0,0,(K85-I85)/K85)</f>
        <v>#NAME?</v>
      </c>
      <c r="M85" s="172"/>
    </row>
    <row r="86" spans="1:13" ht="15" thickBot="1">
      <c r="A86" s="95" t="s">
        <v>65</v>
      </c>
      <c r="B86" s="96"/>
      <c r="C86" s="96"/>
      <c r="D86" s="140">
        <f>B86*C86</f>
        <v>0</v>
      </c>
      <c r="E86" s="99" t="s">
        <v>19</v>
      </c>
      <c r="F86" s="100">
        <f>F85</f>
        <v>0.45</v>
      </c>
      <c r="G86" s="100" t="e">
        <f ca="1">G85</f>
        <v>#NAME?</v>
      </c>
      <c r="H86" s="101" t="e">
        <f t="shared" ref="H86" ca="1" si="54">F86+G86</f>
        <v>#NAME?</v>
      </c>
      <c r="I86" s="101" t="e">
        <f ca="1">H86*D86</f>
        <v>#NAME?</v>
      </c>
      <c r="J86" s="102" t="e">
        <f ca="1">IF(P20="Distributor",H86*F114,H86*F113)</f>
        <v>#NAME?</v>
      </c>
      <c r="K86" s="103" t="e">
        <f ca="1">J86*D86</f>
        <v>#NAME?</v>
      </c>
      <c r="L86" s="104" t="e">
        <f ca="1">IF(K86=0,0,(K86-I86)/K86)</f>
        <v>#NAME?</v>
      </c>
      <c r="M86" s="173"/>
    </row>
    <row r="87" spans="1:13" ht="21" thickBot="1">
      <c r="A87" s="82" t="s">
        <v>35</v>
      </c>
      <c r="B87" s="83" t="s">
        <v>22</v>
      </c>
      <c r="C87" s="83" t="s">
        <v>22</v>
      </c>
      <c r="D87" s="83" t="s">
        <v>22</v>
      </c>
      <c r="E87" s="83" t="s">
        <v>22</v>
      </c>
      <c r="F87" s="83" t="s">
        <v>22</v>
      </c>
      <c r="G87" s="83" t="s">
        <v>22</v>
      </c>
      <c r="H87" s="83" t="s">
        <v>22</v>
      </c>
      <c r="I87" s="83" t="s">
        <v>22</v>
      </c>
      <c r="J87" s="83" t="s">
        <v>22</v>
      </c>
      <c r="K87" s="83" t="s">
        <v>22</v>
      </c>
      <c r="L87" s="83" t="s">
        <v>22</v>
      </c>
      <c r="M87" s="86" t="s">
        <v>22</v>
      </c>
    </row>
    <row r="88" spans="1:13">
      <c r="A88" s="141" t="s">
        <v>90</v>
      </c>
      <c r="B88" s="106"/>
      <c r="C88" s="107" t="s">
        <v>89</v>
      </c>
      <c r="D88" s="108">
        <f>B88</f>
        <v>0</v>
      </c>
      <c r="E88" s="91" t="s">
        <v>42</v>
      </c>
      <c r="F88" s="142">
        <f>$B$127</f>
        <v>30</v>
      </c>
      <c r="G88" s="142">
        <f>$C$127</f>
        <v>0</v>
      </c>
      <c r="H88" s="143">
        <f>F88+G88</f>
        <v>30</v>
      </c>
      <c r="I88" s="109">
        <f>H88*B88</f>
        <v>0</v>
      </c>
      <c r="J88" s="111">
        <f t="shared" ref="J88:J97" si="55">IF(P$20="Distributor",H88*F$114,H88*F$113)</f>
        <v>60</v>
      </c>
      <c r="K88" s="144">
        <f>J88*D88</f>
        <v>0</v>
      </c>
      <c r="L88" s="94">
        <f t="shared" ref="L88:L92" si="56">IF(K88=0,0,(K88-I88)/K88)</f>
        <v>0</v>
      </c>
      <c r="M88" s="167"/>
    </row>
    <row r="89" spans="1:13">
      <c r="A89" s="114" t="s">
        <v>16</v>
      </c>
      <c r="B89" s="115" t="s">
        <v>246</v>
      </c>
      <c r="C89" s="115" t="s">
        <v>246</v>
      </c>
      <c r="D89" s="116">
        <f>Four_Side_Validation(B89,C89)*D99</f>
        <v>0</v>
      </c>
      <c r="E89" s="117" t="s">
        <v>20</v>
      </c>
      <c r="F89" s="118">
        <f>$B$128</f>
        <v>0.4</v>
      </c>
      <c r="G89" s="118">
        <f>$C$128</f>
        <v>0.35</v>
      </c>
      <c r="H89" s="119">
        <f t="shared" ref="H89:H92" si="57">F89+G89</f>
        <v>0.75</v>
      </c>
      <c r="I89" s="120">
        <f>Four_Side_Velcro_Cost(B89,C89,B85,C85,H89,D99)</f>
        <v>0</v>
      </c>
      <c r="J89" s="93">
        <f t="shared" si="55"/>
        <v>1.5</v>
      </c>
      <c r="K89" s="120">
        <f>Four_Side_Velcro_Sell(B89,C89,B85,C85,J89,D99)</f>
        <v>0</v>
      </c>
      <c r="L89" s="121">
        <f t="shared" si="56"/>
        <v>0</v>
      </c>
      <c r="M89" s="170"/>
    </row>
    <row r="90" spans="1:13">
      <c r="A90" s="114" t="s">
        <v>17</v>
      </c>
      <c r="B90" s="115" t="s">
        <v>246</v>
      </c>
      <c r="C90" s="122" t="s">
        <v>89</v>
      </c>
      <c r="D90" s="116">
        <f>Chain_Validation(B90,C90)</f>
        <v>0</v>
      </c>
      <c r="E90" s="117" t="s">
        <v>20</v>
      </c>
      <c r="F90" s="118">
        <f>$B$129</f>
        <v>0</v>
      </c>
      <c r="G90" s="118">
        <f>$C$129</f>
        <v>0.63</v>
      </c>
      <c r="H90" s="119">
        <f t="shared" si="57"/>
        <v>0.63</v>
      </c>
      <c r="I90" s="120">
        <f>Chain_Cost(B90,B85,B86,H90)</f>
        <v>0</v>
      </c>
      <c r="J90" s="93">
        <f t="shared" si="55"/>
        <v>1.26</v>
      </c>
      <c r="K90" s="120">
        <f>Chain_Sell(B90,B85,B86,J90)</f>
        <v>0</v>
      </c>
      <c r="L90" s="121">
        <f t="shared" si="56"/>
        <v>0</v>
      </c>
      <c r="M90" s="170"/>
    </row>
    <row r="91" spans="1:13">
      <c r="A91" s="114" t="s">
        <v>18</v>
      </c>
      <c r="B91" s="115" t="s">
        <v>247</v>
      </c>
      <c r="C91" s="115" t="s">
        <v>246</v>
      </c>
      <c r="D91" s="116">
        <f>Four_Side_Validation(B91,C91)</f>
        <v>0</v>
      </c>
      <c r="E91" s="117" t="s">
        <v>20</v>
      </c>
      <c r="F91" s="118">
        <f>$B$130</f>
        <v>0</v>
      </c>
      <c r="G91" s="118">
        <f>$C$130</f>
        <v>2.2000000000000002</v>
      </c>
      <c r="H91" s="119">
        <f t="shared" si="57"/>
        <v>2.2000000000000002</v>
      </c>
      <c r="I91" s="120">
        <f>Four_Side_Cost(B91,C91,B85,C85,H91)</f>
        <v>0</v>
      </c>
      <c r="J91" s="93">
        <f t="shared" si="55"/>
        <v>4.4000000000000004</v>
      </c>
      <c r="K91" s="120">
        <f>Four_Side_Sell(B91,C91,B85,C85,J91)</f>
        <v>0</v>
      </c>
      <c r="L91" s="121">
        <f t="shared" si="56"/>
        <v>0</v>
      </c>
      <c r="M91" s="170"/>
    </row>
    <row r="92" spans="1:13">
      <c r="A92" s="114" t="s">
        <v>227</v>
      </c>
      <c r="B92" s="115"/>
      <c r="C92" s="122" t="s">
        <v>89</v>
      </c>
      <c r="D92" s="116">
        <f>B92</f>
        <v>0</v>
      </c>
      <c r="E92" s="117" t="s">
        <v>21</v>
      </c>
      <c r="F92" s="118">
        <f>$B$132</f>
        <v>0</v>
      </c>
      <c r="G92" s="118">
        <f>$C$132</f>
        <v>20</v>
      </c>
      <c r="H92" s="119">
        <f t="shared" si="57"/>
        <v>20</v>
      </c>
      <c r="I92" s="120">
        <f>H92*D92</f>
        <v>0</v>
      </c>
      <c r="J92" s="93">
        <f t="shared" si="55"/>
        <v>40</v>
      </c>
      <c r="K92" s="120">
        <f>J92*D92</f>
        <v>0</v>
      </c>
      <c r="L92" s="121">
        <f t="shared" si="56"/>
        <v>0</v>
      </c>
      <c r="M92" s="170"/>
    </row>
    <row r="93" spans="1:13">
      <c r="A93" s="114" t="s">
        <v>156</v>
      </c>
      <c r="B93" s="115" t="s">
        <v>244</v>
      </c>
      <c r="C93" s="122" t="s">
        <v>89</v>
      </c>
      <c r="D93" s="116">
        <f>IF(B93="Yes",1,0)</f>
        <v>0</v>
      </c>
      <c r="E93" s="117" t="s">
        <v>21</v>
      </c>
      <c r="F93" s="118">
        <f>B$137</f>
        <v>0</v>
      </c>
      <c r="G93" s="118">
        <f>C$137</f>
        <v>13</v>
      </c>
      <c r="H93" s="119">
        <f>F93+G93</f>
        <v>13</v>
      </c>
      <c r="I93" s="103">
        <f>IF(B93="Yes",H93*B85,0)</f>
        <v>0</v>
      </c>
      <c r="J93" s="93">
        <f t="shared" si="55"/>
        <v>26</v>
      </c>
      <c r="K93" s="103">
        <f>IF(B93="Yes",B85*J93,0)</f>
        <v>0</v>
      </c>
      <c r="L93" s="121">
        <f>IF(K93=0,0,(K93-I93)/K93)</f>
        <v>0</v>
      </c>
      <c r="M93" s="168"/>
    </row>
    <row r="94" spans="1:13">
      <c r="A94" s="114" t="s">
        <v>43</v>
      </c>
      <c r="B94" s="115" t="s">
        <v>247</v>
      </c>
      <c r="C94" s="115" t="s">
        <v>246</v>
      </c>
      <c r="D94" s="116">
        <f>Four_Side_Validation(B94,C94)</f>
        <v>0</v>
      </c>
      <c r="E94" s="117" t="s">
        <v>20</v>
      </c>
      <c r="F94" s="118">
        <f>B$133</f>
        <v>0</v>
      </c>
      <c r="G94" s="118">
        <f>C$133</f>
        <v>0.7</v>
      </c>
      <c r="H94" s="119">
        <f t="shared" ref="H94:H97" si="58">F94+G94</f>
        <v>0.7</v>
      </c>
      <c r="I94" s="103">
        <f>Four_Side_Cost(B94,C94,B85,C85,H94)</f>
        <v>0</v>
      </c>
      <c r="J94" s="93">
        <f t="shared" si="55"/>
        <v>1.4</v>
      </c>
      <c r="K94" s="103">
        <f>Four_Side_Sell(B94,C94,B85,C85,J94)</f>
        <v>0</v>
      </c>
      <c r="L94" s="121">
        <f t="shared" ref="L94:L98" si="59">IF(K94=0,0,(K94-I94)/K94)</f>
        <v>0</v>
      </c>
      <c r="M94" s="170"/>
    </row>
    <row r="95" spans="1:13">
      <c r="A95" s="309" t="s">
        <v>216</v>
      </c>
      <c r="B95" s="96" t="s">
        <v>147</v>
      </c>
      <c r="C95" s="122" t="s">
        <v>89</v>
      </c>
      <c r="D95" s="116">
        <f>IF(B95="Yes",B85,0)</f>
        <v>0</v>
      </c>
      <c r="E95" s="117" t="s">
        <v>20</v>
      </c>
      <c r="F95" s="118">
        <f>$B$134</f>
        <v>0</v>
      </c>
      <c r="G95" s="118">
        <f>$C$134</f>
        <v>1</v>
      </c>
      <c r="H95" s="101">
        <f t="shared" si="58"/>
        <v>1</v>
      </c>
      <c r="I95" s="103">
        <f t="shared" ref="I95:I96" si="60">H95*D95</f>
        <v>0</v>
      </c>
      <c r="J95" s="93">
        <f t="shared" si="55"/>
        <v>2</v>
      </c>
      <c r="K95" s="103">
        <f>J95*D95</f>
        <v>0</v>
      </c>
      <c r="L95" s="104">
        <f t="shared" si="59"/>
        <v>0</v>
      </c>
      <c r="M95" s="168"/>
    </row>
    <row r="96" spans="1:13">
      <c r="A96" s="309" t="s">
        <v>217</v>
      </c>
      <c r="B96" s="96" t="s">
        <v>147</v>
      </c>
      <c r="C96" s="122" t="s">
        <v>89</v>
      </c>
      <c r="D96" s="116">
        <f>IF(B96="Yes",B85,0)</f>
        <v>0</v>
      </c>
      <c r="E96" s="117" t="s">
        <v>20</v>
      </c>
      <c r="F96" s="118">
        <f>$B$136</f>
        <v>0</v>
      </c>
      <c r="G96" s="118">
        <f>$C$136</f>
        <v>3</v>
      </c>
      <c r="H96" s="101">
        <f t="shared" si="58"/>
        <v>3</v>
      </c>
      <c r="I96" s="103">
        <f t="shared" si="60"/>
        <v>0</v>
      </c>
      <c r="J96" s="93">
        <f t="shared" si="55"/>
        <v>6</v>
      </c>
      <c r="K96" s="103">
        <f t="shared" ref="K96:K97" si="61">J96*D96</f>
        <v>0</v>
      </c>
      <c r="L96" s="104">
        <f t="shared" si="59"/>
        <v>0</v>
      </c>
      <c r="M96" s="168"/>
    </row>
    <row r="97" spans="1:13">
      <c r="A97" s="309" t="s">
        <v>218</v>
      </c>
      <c r="B97" s="311"/>
      <c r="C97" s="122" t="s">
        <v>89</v>
      </c>
      <c r="D97" s="116">
        <f>B97</f>
        <v>0</v>
      </c>
      <c r="E97" s="310" t="s">
        <v>219</v>
      </c>
      <c r="F97" s="118">
        <f>$B$135</f>
        <v>0</v>
      </c>
      <c r="G97" s="118">
        <f>$C$135</f>
        <v>10</v>
      </c>
      <c r="H97" s="101">
        <f t="shared" si="58"/>
        <v>10</v>
      </c>
      <c r="I97" s="103">
        <f>H97*B97</f>
        <v>0</v>
      </c>
      <c r="J97" s="93">
        <f t="shared" si="55"/>
        <v>20</v>
      </c>
      <c r="K97" s="103">
        <f t="shared" si="61"/>
        <v>0</v>
      </c>
      <c r="L97" s="104">
        <f t="shared" si="59"/>
        <v>0</v>
      </c>
      <c r="M97" s="168"/>
    </row>
    <row r="98" spans="1:13" ht="15" thickBot="1">
      <c r="A98" s="123" t="s">
        <v>93</v>
      </c>
      <c r="B98" s="124" t="s">
        <v>89</v>
      </c>
      <c r="C98" s="124" t="s">
        <v>89</v>
      </c>
      <c r="D98" s="124" t="s">
        <v>89</v>
      </c>
      <c r="E98" s="145" t="s">
        <v>21</v>
      </c>
      <c r="F98" s="124" t="s">
        <v>89</v>
      </c>
      <c r="G98" s="124" t="s">
        <v>89</v>
      </c>
      <c r="H98" s="124" t="s">
        <v>89</v>
      </c>
      <c r="I98" s="146"/>
      <c r="J98" s="127">
        <f>IF(P$20="Distributor",I98*F$114,I98*F$113)</f>
        <v>0</v>
      </c>
      <c r="K98" s="128">
        <f>J98</f>
        <v>0</v>
      </c>
      <c r="L98" s="147">
        <f t="shared" si="59"/>
        <v>0</v>
      </c>
      <c r="M98" s="171"/>
    </row>
    <row r="99" spans="1:13" ht="18.75" thickBot="1">
      <c r="A99" s="9" t="s">
        <v>135</v>
      </c>
      <c r="B99" s="131" t="e">
        <f ca="1">SUM(K85+K86+K88+K89+K90+K91+K92+K94+K98+K93+K95+K96+K97)</f>
        <v>#NAME?</v>
      </c>
      <c r="C99" s="233" t="s">
        <v>186</v>
      </c>
      <c r="D99" s="264"/>
      <c r="E99" s="4"/>
      <c r="F99" s="4"/>
      <c r="G99" s="4"/>
      <c r="H99" s="4"/>
      <c r="L99" s="4"/>
      <c r="M99" s="4"/>
    </row>
    <row r="100" spans="1:13">
      <c r="E100" s="4"/>
      <c r="F100" s="4"/>
      <c r="G100" s="4"/>
      <c r="H100" s="4"/>
      <c r="L100" s="4"/>
      <c r="M100" s="4"/>
    </row>
    <row r="103" spans="1:13" ht="15" thickBot="1"/>
    <row r="104" spans="1:13" ht="16.5" thickBot="1">
      <c r="A104" s="37" t="s">
        <v>104</v>
      </c>
      <c r="B104" s="38"/>
      <c r="C104" s="37"/>
      <c r="D104" s="39"/>
      <c r="E104" s="37" t="s">
        <v>55</v>
      </c>
      <c r="F104" s="40"/>
      <c r="G104" s="37"/>
      <c r="H104" s="37" t="s">
        <v>141</v>
      </c>
      <c r="I104" s="68" t="s">
        <v>146</v>
      </c>
      <c r="J104" s="260"/>
      <c r="K104" s="303" t="s">
        <v>213</v>
      </c>
    </row>
    <row r="105" spans="1:13" ht="16.5" thickBot="1">
      <c r="A105" s="41" t="s">
        <v>76</v>
      </c>
      <c r="B105" s="42" t="s">
        <v>71</v>
      </c>
      <c r="C105" s="41" t="s">
        <v>75</v>
      </c>
      <c r="D105" s="43" t="s">
        <v>67</v>
      </c>
      <c r="E105" s="295" t="s">
        <v>196</v>
      </c>
      <c r="F105" s="44" t="s">
        <v>81</v>
      </c>
      <c r="G105" s="41" t="s">
        <v>95</v>
      </c>
      <c r="H105" s="65">
        <v>0</v>
      </c>
      <c r="I105" s="66" t="s">
        <v>145</v>
      </c>
      <c r="J105" s="261" t="s">
        <v>157</v>
      </c>
      <c r="K105" s="258" t="s">
        <v>233</v>
      </c>
    </row>
    <row r="106" spans="1:13">
      <c r="A106" s="58" t="s">
        <v>44</v>
      </c>
      <c r="B106" s="25" t="s">
        <v>44</v>
      </c>
      <c r="C106" s="25" t="s">
        <v>44</v>
      </c>
      <c r="D106" s="25" t="s">
        <v>80</v>
      </c>
      <c r="E106" s="59" t="s">
        <v>193</v>
      </c>
      <c r="F106" s="59" t="s">
        <v>82</v>
      </c>
      <c r="G106" s="60" t="s">
        <v>97</v>
      </c>
      <c r="H106" s="66">
        <v>1</v>
      </c>
      <c r="I106" s="65" t="s">
        <v>147</v>
      </c>
      <c r="J106" s="259" t="s">
        <v>145</v>
      </c>
      <c r="K106" s="66" t="s">
        <v>214</v>
      </c>
    </row>
    <row r="107" spans="1:13">
      <c r="A107" s="61" t="s">
        <v>69</v>
      </c>
      <c r="B107" s="23" t="s">
        <v>73</v>
      </c>
      <c r="C107" s="23" t="s">
        <v>91</v>
      </c>
      <c r="D107" s="23" t="s">
        <v>78</v>
      </c>
      <c r="E107" s="31" t="s">
        <v>198</v>
      </c>
      <c r="F107" s="31" t="s">
        <v>83</v>
      </c>
      <c r="G107" s="28" t="s">
        <v>96</v>
      </c>
      <c r="H107" s="66">
        <v>2</v>
      </c>
      <c r="I107" s="66"/>
      <c r="J107" s="259" t="s">
        <v>147</v>
      </c>
      <c r="K107" s="262" t="s">
        <v>201</v>
      </c>
    </row>
    <row r="108" spans="1:13">
      <c r="A108" s="61" t="s">
        <v>68</v>
      </c>
      <c r="B108" s="23" t="s">
        <v>74</v>
      </c>
      <c r="C108" s="23" t="s">
        <v>92</v>
      </c>
      <c r="D108" s="23" t="s">
        <v>79</v>
      </c>
      <c r="E108" s="31" t="s">
        <v>194</v>
      </c>
      <c r="F108" s="31"/>
      <c r="G108" s="28"/>
      <c r="H108" s="66">
        <v>3</v>
      </c>
      <c r="I108" s="66"/>
      <c r="J108" s="256"/>
      <c r="K108" s="262" t="s">
        <v>202</v>
      </c>
    </row>
    <row r="109" spans="1:13" ht="15" thickBot="1">
      <c r="A109" s="62" t="s">
        <v>70</v>
      </c>
      <c r="B109" s="24" t="s">
        <v>72</v>
      </c>
      <c r="C109" s="24" t="s">
        <v>77</v>
      </c>
      <c r="D109" s="24"/>
      <c r="E109" s="24" t="s">
        <v>195</v>
      </c>
      <c r="F109" s="24"/>
      <c r="G109" s="29"/>
      <c r="H109" s="67">
        <v>4</v>
      </c>
      <c r="I109" s="67"/>
      <c r="J109" s="257"/>
      <c r="K109" s="262" t="s">
        <v>203</v>
      </c>
    </row>
    <row r="110" spans="1:13" ht="15" thickBot="1">
      <c r="E110" s="296" t="s">
        <v>197</v>
      </c>
      <c r="K110" s="263" t="s">
        <v>215</v>
      </c>
    </row>
    <row r="111" spans="1:13" ht="15.75">
      <c r="A111" s="40" t="s">
        <v>103</v>
      </c>
      <c r="B111" s="38"/>
      <c r="C111" s="39"/>
      <c r="D111" s="18"/>
      <c r="E111" s="55" t="s">
        <v>120</v>
      </c>
      <c r="F111" s="56"/>
      <c r="G111" s="36"/>
    </row>
    <row r="112" spans="1:13" ht="15.75">
      <c r="A112" s="44" t="s">
        <v>106</v>
      </c>
      <c r="B112" s="42" t="s">
        <v>119</v>
      </c>
      <c r="C112" s="43" t="s">
        <v>105</v>
      </c>
      <c r="D112" s="17"/>
      <c r="E112" s="47"/>
      <c r="F112" s="45" t="s">
        <v>122</v>
      </c>
      <c r="G112" s="57" t="s">
        <v>123</v>
      </c>
    </row>
    <row r="113" spans="1:7" ht="15.75">
      <c r="A113" s="47" t="s">
        <v>107</v>
      </c>
      <c r="B113" s="1" t="s">
        <v>136</v>
      </c>
      <c r="C113" s="54">
        <v>1</v>
      </c>
      <c r="D113" s="17"/>
      <c r="E113" s="47" t="s">
        <v>82</v>
      </c>
      <c r="F113" s="23">
        <v>2</v>
      </c>
      <c r="G113" s="28">
        <v>3.1</v>
      </c>
    </row>
    <row r="114" spans="1:7" ht="16.5" thickBot="1">
      <c r="A114" s="47"/>
      <c r="B114" s="1" t="s">
        <v>113</v>
      </c>
      <c r="C114" s="54">
        <v>1.25</v>
      </c>
      <c r="D114" s="17"/>
      <c r="E114" s="49" t="s">
        <v>121</v>
      </c>
      <c r="F114" s="24">
        <f>F113*0.85</f>
        <v>1.7</v>
      </c>
      <c r="G114" s="29">
        <f>G113*0.85</f>
        <v>2.6349999999999998</v>
      </c>
    </row>
    <row r="115" spans="1:7" ht="15.75">
      <c r="A115" s="47"/>
      <c r="B115" s="1" t="s">
        <v>114</v>
      </c>
      <c r="C115" s="54">
        <v>1.4</v>
      </c>
      <c r="D115" s="17"/>
    </row>
    <row r="116" spans="1:7" ht="16.5" thickBot="1">
      <c r="A116" s="47"/>
      <c r="B116" s="1" t="s">
        <v>115</v>
      </c>
      <c r="C116" s="10">
        <v>1.8</v>
      </c>
      <c r="D116" s="18"/>
    </row>
    <row r="117" spans="1:7" ht="15.75">
      <c r="A117" s="47" t="s">
        <v>38</v>
      </c>
      <c r="B117" s="1" t="s">
        <v>116</v>
      </c>
      <c r="C117" s="10">
        <v>0.25</v>
      </c>
      <c r="D117" s="18"/>
      <c r="E117" s="40" t="s">
        <v>124</v>
      </c>
      <c r="F117" s="34"/>
      <c r="G117" s="33"/>
    </row>
    <row r="118" spans="1:7" ht="18">
      <c r="A118" s="47" t="s">
        <v>39</v>
      </c>
      <c r="B118" s="1" t="s">
        <v>117</v>
      </c>
      <c r="C118" s="10">
        <v>0.5</v>
      </c>
      <c r="D118" s="18"/>
      <c r="E118" s="50"/>
      <c r="F118" s="23" t="s">
        <v>138</v>
      </c>
      <c r="G118" s="28" t="s">
        <v>139</v>
      </c>
    </row>
    <row r="119" spans="1:7" ht="15.75">
      <c r="A119" s="47" t="s">
        <v>108</v>
      </c>
      <c r="B119" s="1" t="s">
        <v>118</v>
      </c>
      <c r="C119" s="10">
        <v>0.5</v>
      </c>
      <c r="D119" s="18"/>
      <c r="E119" s="12" t="s">
        <v>125</v>
      </c>
      <c r="F119" s="32">
        <v>9.5000000000000001E-2</v>
      </c>
      <c r="G119" s="51">
        <v>0.105</v>
      </c>
    </row>
    <row r="120" spans="1:7" ht="15.75">
      <c r="A120" s="47" t="s">
        <v>109</v>
      </c>
      <c r="B120" s="1" t="s">
        <v>112</v>
      </c>
      <c r="C120" s="10">
        <v>0.25</v>
      </c>
      <c r="D120" s="18"/>
      <c r="E120" s="12" t="s">
        <v>126</v>
      </c>
      <c r="F120" s="32">
        <v>4.4999999999999998E-2</v>
      </c>
      <c r="G120" s="51">
        <v>5.5E-2</v>
      </c>
    </row>
    <row r="121" spans="1:7" ht="15.75">
      <c r="A121" s="47" t="s">
        <v>110</v>
      </c>
      <c r="B121" s="1" t="s">
        <v>112</v>
      </c>
      <c r="C121" s="10">
        <v>0.34</v>
      </c>
      <c r="D121" s="18"/>
      <c r="E121" s="12" t="s">
        <v>127</v>
      </c>
      <c r="F121" s="32">
        <v>4.4999999999999998E-2</v>
      </c>
      <c r="G121" s="51">
        <v>5.5E-2</v>
      </c>
    </row>
    <row r="122" spans="1:7" ht="16.5" thickBot="1">
      <c r="A122" s="49" t="s">
        <v>111</v>
      </c>
      <c r="B122" s="2" t="s">
        <v>112</v>
      </c>
      <c r="C122" s="30">
        <v>0.34</v>
      </c>
      <c r="D122" s="18"/>
      <c r="E122" s="26" t="s">
        <v>128</v>
      </c>
      <c r="F122" s="52">
        <v>2.5000000000000001E-2</v>
      </c>
      <c r="G122" s="53">
        <v>3.5000000000000003E-2</v>
      </c>
    </row>
    <row r="123" spans="1:7" ht="15" thickBot="1">
      <c r="A123" s="4"/>
      <c r="B123" s="4"/>
      <c r="C123" s="4"/>
      <c r="F123" s="22"/>
      <c r="G123" s="22"/>
    </row>
    <row r="124" spans="1:7" ht="15.75">
      <c r="A124" s="55" t="s">
        <v>140</v>
      </c>
      <c r="B124" s="324" t="s">
        <v>41</v>
      </c>
      <c r="C124" s="324" t="s">
        <v>4</v>
      </c>
      <c r="D124" s="324" t="s">
        <v>5</v>
      </c>
      <c r="E124" s="46" t="s">
        <v>36</v>
      </c>
    </row>
    <row r="125" spans="1:7" ht="15.75">
      <c r="A125" s="47" t="s">
        <v>220</v>
      </c>
      <c r="B125" s="5">
        <v>0.45</v>
      </c>
      <c r="C125" s="5">
        <v>0.45</v>
      </c>
      <c r="D125" s="5">
        <f t="shared" ref="D125:D137" si="62">B125+C125</f>
        <v>0.9</v>
      </c>
      <c r="E125" s="10"/>
    </row>
    <row r="126" spans="1:7" ht="15.75">
      <c r="A126" s="47" t="s">
        <v>108</v>
      </c>
      <c r="B126" s="5">
        <v>0.45</v>
      </c>
      <c r="C126" s="5">
        <v>0.45</v>
      </c>
      <c r="D126" s="5">
        <f t="shared" si="62"/>
        <v>0.9</v>
      </c>
      <c r="E126" s="10"/>
    </row>
    <row r="127" spans="1:7" ht="15.75">
      <c r="A127" s="47" t="s">
        <v>90</v>
      </c>
      <c r="B127" s="27">
        <v>30</v>
      </c>
      <c r="C127" s="27">
        <v>0</v>
      </c>
      <c r="D127" s="81">
        <f t="shared" si="62"/>
        <v>30</v>
      </c>
      <c r="E127" s="10"/>
    </row>
    <row r="128" spans="1:7" ht="15.75">
      <c r="A128" s="47" t="s">
        <v>16</v>
      </c>
      <c r="B128" s="5">
        <v>0.4</v>
      </c>
      <c r="C128" s="5">
        <v>0.35</v>
      </c>
      <c r="D128" s="5">
        <f t="shared" si="62"/>
        <v>0.75</v>
      </c>
      <c r="E128" s="10"/>
    </row>
    <row r="129" spans="1:5" ht="15.75">
      <c r="A129" s="47" t="s">
        <v>17</v>
      </c>
      <c r="B129" s="5">
        <v>0</v>
      </c>
      <c r="C129" s="5">
        <v>0.63</v>
      </c>
      <c r="D129" s="5">
        <f t="shared" si="62"/>
        <v>0.63</v>
      </c>
      <c r="E129" s="10"/>
    </row>
    <row r="130" spans="1:5" ht="15.75">
      <c r="A130" s="47" t="s">
        <v>18</v>
      </c>
      <c r="B130" s="5">
        <v>0</v>
      </c>
      <c r="C130" s="5">
        <v>2.2000000000000002</v>
      </c>
      <c r="D130" s="5">
        <f t="shared" si="62"/>
        <v>2.2000000000000002</v>
      </c>
      <c r="E130" s="10"/>
    </row>
    <row r="131" spans="1:5" ht="15.75">
      <c r="A131" s="47" t="s">
        <v>39</v>
      </c>
      <c r="B131" s="6">
        <v>190</v>
      </c>
      <c r="C131" s="6">
        <v>0</v>
      </c>
      <c r="D131" s="5">
        <f t="shared" si="62"/>
        <v>190</v>
      </c>
      <c r="E131" s="10"/>
    </row>
    <row r="132" spans="1:5" ht="15.75">
      <c r="A132" s="47" t="s">
        <v>227</v>
      </c>
      <c r="B132" s="6">
        <v>0</v>
      </c>
      <c r="C132" s="6">
        <v>20</v>
      </c>
      <c r="D132" s="5">
        <f t="shared" si="62"/>
        <v>20</v>
      </c>
      <c r="E132" s="336">
        <v>42716</v>
      </c>
    </row>
    <row r="133" spans="1:5" ht="15.75">
      <c r="A133" s="47" t="s">
        <v>43</v>
      </c>
      <c r="B133" s="5">
        <v>0</v>
      </c>
      <c r="C133" s="5">
        <v>0.7</v>
      </c>
      <c r="D133" s="5">
        <f t="shared" si="62"/>
        <v>0.7</v>
      </c>
      <c r="E133" s="10"/>
    </row>
    <row r="134" spans="1:5" ht="15.75">
      <c r="A134" s="47" t="s">
        <v>216</v>
      </c>
      <c r="B134" s="323">
        <v>0</v>
      </c>
      <c r="C134" s="323">
        <v>1</v>
      </c>
      <c r="D134" s="323">
        <f>B134+C134</f>
        <v>1</v>
      </c>
      <c r="E134" s="28"/>
    </row>
    <row r="135" spans="1:5" ht="15.75">
      <c r="A135" s="47" t="s">
        <v>223</v>
      </c>
      <c r="B135" s="323">
        <v>0</v>
      </c>
      <c r="C135" s="323">
        <v>10</v>
      </c>
      <c r="D135" s="323">
        <f>B135+C135</f>
        <v>10</v>
      </c>
      <c r="E135" s="28"/>
    </row>
    <row r="136" spans="1:5" ht="15.75">
      <c r="A136" s="47" t="s">
        <v>217</v>
      </c>
      <c r="B136" s="323">
        <v>0</v>
      </c>
      <c r="C136" s="323">
        <v>3</v>
      </c>
      <c r="D136" s="323">
        <f>B136+C136</f>
        <v>3</v>
      </c>
      <c r="E136" s="28"/>
    </row>
    <row r="137" spans="1:5" ht="15.75">
      <c r="A137" s="326" t="s">
        <v>156</v>
      </c>
      <c r="B137" s="327">
        <v>0</v>
      </c>
      <c r="C137" s="327">
        <v>13</v>
      </c>
      <c r="D137" s="327">
        <f t="shared" si="62"/>
        <v>13</v>
      </c>
      <c r="E137" s="328"/>
    </row>
    <row r="138" spans="1:5" ht="15.75">
      <c r="A138" s="47"/>
      <c r="B138" s="35"/>
      <c r="C138" s="35"/>
      <c r="D138" s="35"/>
      <c r="E138" s="48"/>
    </row>
    <row r="139" spans="1:5" ht="15.75">
      <c r="A139" s="47" t="s">
        <v>99</v>
      </c>
      <c r="B139" s="6">
        <v>30</v>
      </c>
      <c r="C139" s="6">
        <v>0</v>
      </c>
      <c r="D139" s="6">
        <f t="shared" ref="D139:D144" si="63">B139+C139</f>
        <v>30</v>
      </c>
      <c r="E139" s="10"/>
    </row>
    <row r="140" spans="1:5" ht="15.75">
      <c r="A140" s="47" t="s">
        <v>98</v>
      </c>
      <c r="B140" s="6">
        <v>20</v>
      </c>
      <c r="C140" s="6">
        <v>0</v>
      </c>
      <c r="D140" s="6">
        <f t="shared" si="63"/>
        <v>20</v>
      </c>
      <c r="E140" s="10"/>
    </row>
    <row r="141" spans="1:5" ht="15.75">
      <c r="A141" s="47" t="s">
        <v>100</v>
      </c>
      <c r="B141" s="6">
        <v>0.52</v>
      </c>
      <c r="C141" s="6">
        <v>0</v>
      </c>
      <c r="D141" s="6">
        <f t="shared" si="63"/>
        <v>0.52</v>
      </c>
      <c r="E141" s="10"/>
    </row>
    <row r="142" spans="1:5" ht="15.75">
      <c r="A142" s="47" t="s">
        <v>25</v>
      </c>
      <c r="B142" s="6">
        <v>165</v>
      </c>
      <c r="C142" s="6">
        <v>0</v>
      </c>
      <c r="D142" s="6">
        <f t="shared" si="63"/>
        <v>165</v>
      </c>
      <c r="E142" s="10"/>
    </row>
    <row r="143" spans="1:5" ht="15.75">
      <c r="A143" s="47" t="s">
        <v>101</v>
      </c>
      <c r="B143" s="6">
        <v>200</v>
      </c>
      <c r="C143" s="6">
        <v>0</v>
      </c>
      <c r="D143" s="6">
        <f t="shared" si="63"/>
        <v>200</v>
      </c>
      <c r="E143" s="10"/>
    </row>
    <row r="144" spans="1:5" ht="15.75">
      <c r="A144" s="47" t="s">
        <v>137</v>
      </c>
      <c r="B144" s="6">
        <v>100</v>
      </c>
      <c r="C144" s="6">
        <v>0</v>
      </c>
      <c r="D144" s="6">
        <f t="shared" si="63"/>
        <v>100</v>
      </c>
      <c r="E144" s="10"/>
    </row>
    <row r="145" spans="1:8">
      <c r="A145" s="80"/>
      <c r="B145" s="35"/>
      <c r="C145" s="35"/>
      <c r="D145" s="35"/>
      <c r="E145" s="48"/>
    </row>
    <row r="146" spans="1:8" ht="15.75">
      <c r="A146" s="47" t="s">
        <v>158</v>
      </c>
      <c r="B146" s="81">
        <v>0</v>
      </c>
      <c r="C146" s="81">
        <v>25</v>
      </c>
      <c r="D146" s="81">
        <f t="shared" ref="D146:D151" si="64">B146+C146</f>
        <v>25</v>
      </c>
      <c r="E146" s="28"/>
    </row>
    <row r="147" spans="1:8" ht="15.75">
      <c r="A147" s="47" t="s">
        <v>159</v>
      </c>
      <c r="B147" s="81">
        <v>0</v>
      </c>
      <c r="C147" s="81">
        <v>80</v>
      </c>
      <c r="D147" s="81">
        <f t="shared" si="64"/>
        <v>80</v>
      </c>
      <c r="E147" s="28"/>
    </row>
    <row r="148" spans="1:8" ht="15.75">
      <c r="A148" s="47" t="s">
        <v>160</v>
      </c>
      <c r="B148" s="81">
        <v>0</v>
      </c>
      <c r="C148" s="81">
        <v>30</v>
      </c>
      <c r="D148" s="81">
        <f t="shared" si="64"/>
        <v>30</v>
      </c>
      <c r="E148" s="28"/>
    </row>
    <row r="149" spans="1:8" ht="15.75">
      <c r="A149" s="47" t="s">
        <v>161</v>
      </c>
      <c r="B149" s="81">
        <v>0</v>
      </c>
      <c r="C149" s="81">
        <v>30</v>
      </c>
      <c r="D149" s="81">
        <f t="shared" si="64"/>
        <v>30</v>
      </c>
      <c r="E149" s="28"/>
    </row>
    <row r="150" spans="1:8" ht="15.75">
      <c r="A150" s="325" t="s">
        <v>189</v>
      </c>
      <c r="B150" s="6">
        <v>0</v>
      </c>
      <c r="C150" s="6">
        <v>2862</v>
      </c>
      <c r="D150" s="6">
        <f t="shared" si="64"/>
        <v>2862</v>
      </c>
      <c r="E150" s="28"/>
    </row>
    <row r="151" spans="1:8" ht="16.5" thickBot="1">
      <c r="A151" s="329" t="s">
        <v>192</v>
      </c>
      <c r="B151" s="321">
        <v>0</v>
      </c>
      <c r="C151" s="321">
        <v>2775</v>
      </c>
      <c r="D151" s="321">
        <f t="shared" si="64"/>
        <v>2775</v>
      </c>
      <c r="E151" s="29"/>
    </row>
    <row r="153" spans="1:8" ht="15.75">
      <c r="B153" s="42" t="s">
        <v>207</v>
      </c>
      <c r="C153" s="42" t="s">
        <v>208</v>
      </c>
      <c r="D153" s="42" t="s">
        <v>204</v>
      </c>
      <c r="E153" s="42" t="s">
        <v>205</v>
      </c>
      <c r="F153" s="42" t="s">
        <v>206</v>
      </c>
      <c r="G153" s="42" t="s">
        <v>209</v>
      </c>
      <c r="H153" s="42" t="s">
        <v>224</v>
      </c>
    </row>
    <row r="154" spans="1:8">
      <c r="A154" t="s">
        <v>250</v>
      </c>
      <c r="B154" s="331">
        <v>61</v>
      </c>
      <c r="C154" s="4">
        <v>100</v>
      </c>
      <c r="D154" s="4">
        <v>467</v>
      </c>
      <c r="E154" s="332">
        <f>D154/C154</f>
        <v>4.67</v>
      </c>
      <c r="F154" s="332">
        <v>0.31</v>
      </c>
      <c r="G154" t="s">
        <v>210</v>
      </c>
      <c r="H154" t="s">
        <v>225</v>
      </c>
    </row>
    <row r="155" spans="1:8">
      <c r="A155" t="s">
        <v>214</v>
      </c>
      <c r="B155" s="331">
        <v>61</v>
      </c>
      <c r="C155" s="4">
        <v>100</v>
      </c>
      <c r="D155" s="4">
        <v>680</v>
      </c>
      <c r="E155" s="332">
        <f t="shared" ref="E155:E158" si="65">D155/C155</f>
        <v>6.8</v>
      </c>
      <c r="F155" s="332">
        <v>0.45</v>
      </c>
      <c r="G155" t="s">
        <v>210</v>
      </c>
      <c r="H155" t="s">
        <v>225</v>
      </c>
    </row>
    <row r="156" spans="1:8">
      <c r="A156" t="s">
        <v>201</v>
      </c>
      <c r="B156" s="331">
        <v>54</v>
      </c>
      <c r="C156" s="4">
        <v>60</v>
      </c>
      <c r="D156" s="4">
        <v>316</v>
      </c>
      <c r="E156" s="332">
        <f t="shared" si="65"/>
        <v>5.2666666666666666</v>
      </c>
      <c r="F156" s="332">
        <v>0.42</v>
      </c>
      <c r="G156" t="s">
        <v>211</v>
      </c>
      <c r="H156" t="s">
        <v>225</v>
      </c>
    </row>
    <row r="157" spans="1:8">
      <c r="A157" t="s">
        <v>202</v>
      </c>
      <c r="B157" s="331">
        <v>54</v>
      </c>
      <c r="C157" s="4">
        <v>30</v>
      </c>
      <c r="D157" s="4">
        <v>630</v>
      </c>
      <c r="E157" s="332">
        <f t="shared" si="65"/>
        <v>21</v>
      </c>
      <c r="F157" s="332">
        <v>1.56</v>
      </c>
      <c r="G157" t="s">
        <v>211</v>
      </c>
      <c r="H157" t="s">
        <v>225</v>
      </c>
    </row>
    <row r="158" spans="1:8">
      <c r="A158" t="s">
        <v>203</v>
      </c>
      <c r="B158" s="331">
        <v>54</v>
      </c>
      <c r="C158" s="4">
        <v>70</v>
      </c>
      <c r="D158" s="4">
        <v>500</v>
      </c>
      <c r="E158" s="332">
        <f t="shared" si="65"/>
        <v>7.1428571428571432</v>
      </c>
      <c r="F158" s="332">
        <v>0.54</v>
      </c>
      <c r="G158" t="s">
        <v>212</v>
      </c>
      <c r="H158" t="s">
        <v>225</v>
      </c>
    </row>
    <row r="159" spans="1:8">
      <c r="A159" t="s">
        <v>215</v>
      </c>
      <c r="B159" s="331" t="s">
        <v>89</v>
      </c>
      <c r="C159" s="4" t="s">
        <v>89</v>
      </c>
      <c r="D159" s="4" t="s">
        <v>89</v>
      </c>
      <c r="E159" s="332" t="s">
        <v>89</v>
      </c>
      <c r="F159" s="332">
        <v>0.45</v>
      </c>
      <c r="G159" s="330" t="s">
        <v>222</v>
      </c>
      <c r="H159" t="s">
        <v>225</v>
      </c>
    </row>
  </sheetData>
  <dataConsolidate/>
  <phoneticPr fontId="17" type="noConversion"/>
  <dataValidations xWindow="394" yWindow="436" count="18">
    <dataValidation type="date" operator="greaterThanOrEqual" allowBlank="1" showInputMessage="1" showErrorMessage="1" error="You must enter a date greater than today" prompt="Format: dd/mm/year" sqref="P23:P24 U26">
      <formula1>TODAY()</formula1>
    </dataValidation>
    <dataValidation type="list" allowBlank="1" showInputMessage="1" showErrorMessage="1" sqref="P20">
      <formula1>$F$106:$F$107</formula1>
    </dataValidation>
    <dataValidation type="list" allowBlank="1" showInputMessage="1" showErrorMessage="1" sqref="P21">
      <formula1>$G$106:$G$107</formula1>
    </dataValidation>
    <dataValidation type="list" allowBlank="1" showInputMessage="1" showErrorMessage="1" sqref="P19">
      <formula1>$E$105:$E$110</formula1>
    </dataValidation>
    <dataValidation type="list" allowBlank="1" showInputMessage="1" showErrorMessage="1" sqref="R18">
      <formula1>$D$106:$D$108</formula1>
    </dataValidation>
    <dataValidation type="list" allowBlank="1" showInputMessage="1" showErrorMessage="1" sqref="P6">
      <formula1>"0,1,2,3,4,5"</formula1>
    </dataValidation>
    <dataValidation type="decimal" operator="greaterThanOrEqual" allowBlank="1" showInputMessage="1" showErrorMessage="1" sqref="B45:C46 B65:C66 B85:C86 Q7:Q8 B5:C6 B25:C26">
      <formula1>0</formula1>
    </dataValidation>
    <dataValidation type="list" allowBlank="1" showInputMessage="1" showErrorMessage="1" sqref="B54 B91 B89 B94 B31 B11 B71 B29 B34 B69 B51 B49 B9 B74 B14">
      <formula1>$A$106:$A$109</formula1>
    </dataValidation>
    <dataValidation type="list" allowBlank="1" showInputMessage="1" showErrorMessage="1" sqref="B70 B90 B10 B30 B50">
      <formula1>$B$106:$B$109</formula1>
    </dataValidation>
    <dataValidation type="list" allowBlank="1" showInputMessage="1" showErrorMessage="1" sqref="C69 C94 C91 C89 C74 C14 C11 C9 C34 C54 C31 C29 C51 C49 C71">
      <formula1>$C$106:$C$109</formula1>
    </dataValidation>
    <dataValidation type="whole" operator="greaterThanOrEqual" allowBlank="1" showInputMessage="1" showErrorMessage="1" prompt="How many cuts outs needed in main curtain and valance?" sqref="B68 B48 B28 B8 B88">
      <formula1>0</formula1>
    </dataValidation>
    <dataValidation allowBlank="1" showInputMessage="1" showErrorMessage="1" prompt="Enter the number of a D rings" sqref="B72 B12 B52 B32 B92"/>
    <dataValidation operator="greaterThanOrEqual" allowBlank="1" showInputMessage="1" showErrorMessage="1" sqref="Q9:Q13"/>
    <dataValidation type="list" allowBlank="1" showInputMessage="1" showErrorMessage="1" sqref="P9:P10">
      <formula1>$I$105:$I$106</formula1>
    </dataValidation>
    <dataValidation type="list" allowBlank="1" showInputMessage="1" showErrorMessage="1" prompt="If apply track then select yes" sqref="B13 B93 B33 B73 B53">
      <formula1>$J$106:$J$107</formula1>
    </dataValidation>
    <dataValidation type="list" allowBlank="1" showInputMessage="1" showErrorMessage="1" sqref="B3 B23 B43 B63 B83">
      <formula1>$K$104:$K$110</formula1>
    </dataValidation>
    <dataValidation type="list" allowBlank="1" showInputMessage="1" showErrorMessage="1" sqref="B15:B16 B95:B96 B35:B36 B75:B76 B55:B56">
      <formula1>$J$106:$J$107</formula1>
    </dataValidation>
    <dataValidation type="whole" operator="greaterThanOrEqual" allowBlank="1" showInputMessage="1" showErrorMessage="1" sqref="AD5:AD9">
      <formula1>0</formula1>
    </dataValidation>
  </dataValidations>
  <pageMargins left="0.2" right="0.2" top="0.25" bottom="0.25" header="0.3" footer="0.3"/>
  <pageSetup scale="35" orientation="landscape" r:id="rId1"/>
  <rowBreaks count="1" manualBreakCount="1">
    <brk id="38" max="35" man="1"/>
  </rowBreaks>
  <colBreaks count="2" manualBreakCount="2">
    <brk id="13" max="1048575" man="1"/>
    <brk id="27" max="86" man="1"/>
  </colBreaks>
  <drawing r:id="rId2"/>
  <legacyDrawing r:id="rId3"/>
  <mc:AlternateContent xmlns:mc="http://schemas.openxmlformats.org/markup-compatibility/2006">
    <mc:Choice Requires="x14">
      <controls>
        <mc:AlternateContent xmlns:mc="http://schemas.openxmlformats.org/markup-compatibility/2006">
          <mc:Choice Requires="x14">
            <control shapeId="1038" r:id="rId4" name="Button 14">
              <controlPr defaultSize="0" print="0" autoFill="0" autoPict="0" macro="[0]!Button14_Click">
                <anchor moveWithCells="1" sizeWithCells="1">
                  <from>
                    <xdr:col>16</xdr:col>
                    <xdr:colOff>762000</xdr:colOff>
                    <xdr:row>30</xdr:row>
                    <xdr:rowOff>9525</xdr:rowOff>
                  </from>
                  <to>
                    <xdr:col>16</xdr:col>
                    <xdr:colOff>2124075</xdr:colOff>
                    <xdr:row>33</xdr:row>
                    <xdr:rowOff>76200</xdr:rowOff>
                  </to>
                </anchor>
              </controlPr>
            </control>
          </mc:Choice>
        </mc:AlternateContent>
        <mc:AlternateContent xmlns:mc="http://schemas.openxmlformats.org/markup-compatibility/2006">
          <mc:Choice Requires="x14">
            <control shapeId="1041" r:id="rId5" name="Button 17">
              <controlPr defaultSize="0" print="0" autoFill="0" autoPict="0" macro="[0]!Button17_Click">
                <anchor moveWithCells="1" sizeWithCells="1">
                  <from>
                    <xdr:col>14</xdr:col>
                    <xdr:colOff>2714625</xdr:colOff>
                    <xdr:row>30</xdr:row>
                    <xdr:rowOff>0</xdr:rowOff>
                  </from>
                  <to>
                    <xdr:col>15</xdr:col>
                    <xdr:colOff>1095375</xdr:colOff>
                    <xdr:row>33</xdr:row>
                    <xdr:rowOff>19050</xdr:rowOff>
                  </to>
                </anchor>
              </controlPr>
            </control>
          </mc:Choice>
        </mc:AlternateContent>
        <mc:AlternateContent xmlns:mc="http://schemas.openxmlformats.org/markup-compatibility/2006">
          <mc:Choice Requires="x14">
            <control shapeId="1045" r:id="rId6" name="Button 21">
              <controlPr defaultSize="0" print="0" autoFill="0" autoPict="0" macro="[0]!Button2_Click">
                <anchor moveWithCells="1" sizeWithCells="1">
                  <from>
                    <xdr:col>14</xdr:col>
                    <xdr:colOff>238125</xdr:colOff>
                    <xdr:row>30</xdr:row>
                    <xdr:rowOff>9525</xdr:rowOff>
                  </from>
                  <to>
                    <xdr:col>14</xdr:col>
                    <xdr:colOff>1600200</xdr:colOff>
                    <xdr:row>33</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32"/>
  <sheetViews>
    <sheetView zoomScaleNormal="100" workbookViewId="0">
      <selection activeCell="I13" sqref="I13"/>
    </sheetView>
  </sheetViews>
  <sheetFormatPr defaultColWidth="8.875" defaultRowHeight="14.25"/>
  <cols>
    <col min="1" max="1" width="29.375" bestFit="1" customWidth="1"/>
    <col min="2" max="2" width="19" bestFit="1" customWidth="1"/>
    <col min="3" max="3" width="11.25" bestFit="1" customWidth="1"/>
    <col min="4" max="4" width="27" bestFit="1" customWidth="1"/>
    <col min="5" max="5" width="19" bestFit="1" customWidth="1"/>
    <col min="6" max="6" width="13.25" bestFit="1" customWidth="1"/>
    <col min="7" max="7" width="38.125" bestFit="1" customWidth="1"/>
    <col min="8" max="8" width="18.625" bestFit="1" customWidth="1"/>
    <col min="9" max="9" width="24.75" bestFit="1" customWidth="1"/>
    <col min="10" max="10" width="8.75" bestFit="1" customWidth="1"/>
    <col min="11" max="11" width="20.375" bestFit="1" customWidth="1"/>
  </cols>
  <sheetData>
    <row r="1" spans="1:6" ht="20.25">
      <c r="A1" s="8" t="s">
        <v>37</v>
      </c>
      <c r="B1" s="71"/>
      <c r="D1" s="69" t="s">
        <v>148</v>
      </c>
      <c r="E1" s="70" t="s">
        <v>150</v>
      </c>
      <c r="F1" s="71" t="s">
        <v>152</v>
      </c>
    </row>
    <row r="2" spans="1:6" ht="15.75">
      <c r="A2" s="72" t="s">
        <v>31</v>
      </c>
      <c r="B2" s="73"/>
      <c r="D2" s="75" t="s">
        <v>149</v>
      </c>
      <c r="E2" s="76"/>
      <c r="F2" s="77"/>
    </row>
    <row r="3" spans="1:6" ht="15.75">
      <c r="A3" s="72" t="s">
        <v>55</v>
      </c>
      <c r="B3" s="73"/>
      <c r="D3" s="78">
        <v>0</v>
      </c>
      <c r="E3" s="79">
        <v>0</v>
      </c>
      <c r="F3" s="159">
        <f>D3*E3</f>
        <v>0</v>
      </c>
    </row>
    <row r="4" spans="1:6" ht="15.75">
      <c r="A4" s="72" t="s">
        <v>32</v>
      </c>
      <c r="B4" s="73"/>
      <c r="D4" s="78">
        <v>0</v>
      </c>
      <c r="E4" s="79">
        <v>0</v>
      </c>
      <c r="F4" s="159">
        <f>D4*E4</f>
        <v>0</v>
      </c>
    </row>
    <row r="5" spans="1:6" ht="15.75">
      <c r="A5" s="72" t="s">
        <v>54</v>
      </c>
      <c r="B5" s="73"/>
      <c r="D5" s="78">
        <v>0</v>
      </c>
      <c r="E5" s="79">
        <v>0</v>
      </c>
      <c r="F5" s="159">
        <f t="shared" ref="F5:F15" si="0">D5*E5</f>
        <v>0</v>
      </c>
    </row>
    <row r="6" spans="1:6" ht="16.5" thickBot="1">
      <c r="A6" s="246" t="s">
        <v>33</v>
      </c>
      <c r="B6" s="247"/>
      <c r="D6" s="78">
        <v>0</v>
      </c>
      <c r="E6" s="79">
        <v>0</v>
      </c>
      <c r="F6" s="159">
        <f t="shared" si="0"/>
        <v>0</v>
      </c>
    </row>
    <row r="7" spans="1:6" ht="16.5" thickBot="1">
      <c r="A7" s="253" t="s">
        <v>169</v>
      </c>
      <c r="B7" s="254"/>
      <c r="D7" s="78">
        <v>0</v>
      </c>
      <c r="E7" s="79">
        <v>0</v>
      </c>
      <c r="F7" s="159">
        <f t="shared" si="0"/>
        <v>0</v>
      </c>
    </row>
    <row r="8" spans="1:6" ht="15.75">
      <c r="A8" s="248" t="s">
        <v>129</v>
      </c>
      <c r="B8" s="249"/>
      <c r="D8" s="78">
        <v>0</v>
      </c>
      <c r="E8" s="79">
        <v>0</v>
      </c>
      <c r="F8" s="159">
        <f t="shared" si="0"/>
        <v>0</v>
      </c>
    </row>
    <row r="9" spans="1:6" ht="16.5" thickBot="1">
      <c r="A9" s="246" t="s">
        <v>58</v>
      </c>
      <c r="B9" s="250"/>
      <c r="D9" s="78">
        <v>0</v>
      </c>
      <c r="E9" s="79">
        <v>0</v>
      </c>
      <c r="F9" s="159">
        <f t="shared" si="0"/>
        <v>0</v>
      </c>
    </row>
    <row r="10" spans="1:6" ht="16.5" thickBot="1">
      <c r="A10" s="253" t="s">
        <v>181</v>
      </c>
      <c r="B10" s="252"/>
      <c r="D10" s="78">
        <v>0</v>
      </c>
      <c r="E10" s="79">
        <v>0</v>
      </c>
      <c r="F10" s="159">
        <f t="shared" si="0"/>
        <v>0</v>
      </c>
    </row>
    <row r="11" spans="1:6" ht="15.75">
      <c r="A11" s="248" t="s">
        <v>129</v>
      </c>
      <c r="B11" s="251"/>
      <c r="D11" s="157">
        <v>0</v>
      </c>
      <c r="E11" s="158">
        <v>0</v>
      </c>
      <c r="F11" s="160">
        <f t="shared" si="0"/>
        <v>0</v>
      </c>
    </row>
    <row r="12" spans="1:6" ht="15.75">
      <c r="A12" s="246" t="s">
        <v>58</v>
      </c>
      <c r="B12" s="250"/>
      <c r="D12" s="161">
        <v>0</v>
      </c>
      <c r="E12" s="163">
        <v>0</v>
      </c>
      <c r="F12" s="164">
        <f t="shared" si="0"/>
        <v>0</v>
      </c>
    </row>
    <row r="13" spans="1:6" ht="16.5" thickBot="1">
      <c r="A13" s="74" t="s">
        <v>60</v>
      </c>
      <c r="B13" s="297"/>
      <c r="D13" s="161">
        <v>0</v>
      </c>
      <c r="E13" s="163">
        <v>0</v>
      </c>
      <c r="F13" s="164">
        <f t="shared" si="0"/>
        <v>0</v>
      </c>
    </row>
    <row r="14" spans="1:6">
      <c r="D14" s="161">
        <v>0</v>
      </c>
      <c r="E14" s="163">
        <v>0</v>
      </c>
      <c r="F14" s="164">
        <f t="shared" si="0"/>
        <v>0</v>
      </c>
    </row>
    <row r="15" spans="1:6" ht="15" thickBot="1">
      <c r="D15" s="162">
        <v>0</v>
      </c>
      <c r="E15" s="165">
        <v>0</v>
      </c>
      <c r="F15" s="166">
        <f t="shared" si="0"/>
        <v>0</v>
      </c>
    </row>
    <row r="17" spans="4:6" ht="15" thickBot="1"/>
    <row r="18" spans="4:6" ht="18">
      <c r="D18" s="69" t="s">
        <v>148</v>
      </c>
      <c r="E18" s="70" t="s">
        <v>150</v>
      </c>
      <c r="F18" s="71" t="s">
        <v>152</v>
      </c>
    </row>
    <row r="19" spans="4:6">
      <c r="D19" s="75" t="s">
        <v>149</v>
      </c>
      <c r="E19" s="76"/>
      <c r="F19" s="77"/>
    </row>
    <row r="20" spans="4:6">
      <c r="D20" s="78">
        <v>0</v>
      </c>
      <c r="E20" s="79">
        <v>0</v>
      </c>
      <c r="F20" s="159">
        <f>D20*E20</f>
        <v>0</v>
      </c>
    </row>
    <row r="21" spans="4:6">
      <c r="D21" s="78">
        <v>0</v>
      </c>
      <c r="E21" s="79">
        <v>0</v>
      </c>
      <c r="F21" s="159">
        <f>D21*E21</f>
        <v>0</v>
      </c>
    </row>
    <row r="22" spans="4:6">
      <c r="D22" s="78">
        <v>0</v>
      </c>
      <c r="E22" s="79">
        <v>0</v>
      </c>
      <c r="F22" s="159">
        <f t="shared" ref="F22:F32" si="1">D22*E22</f>
        <v>0</v>
      </c>
    </row>
    <row r="23" spans="4:6">
      <c r="D23" s="78">
        <v>0</v>
      </c>
      <c r="E23" s="79">
        <v>0</v>
      </c>
      <c r="F23" s="159">
        <f t="shared" si="1"/>
        <v>0</v>
      </c>
    </row>
    <row r="24" spans="4:6">
      <c r="D24" s="78">
        <v>0</v>
      </c>
      <c r="E24" s="79">
        <v>0</v>
      </c>
      <c r="F24" s="159">
        <f t="shared" si="1"/>
        <v>0</v>
      </c>
    </row>
    <row r="25" spans="4:6">
      <c r="D25" s="78">
        <v>0</v>
      </c>
      <c r="E25" s="79">
        <v>0</v>
      </c>
      <c r="F25" s="159">
        <f t="shared" si="1"/>
        <v>0</v>
      </c>
    </row>
    <row r="26" spans="4:6">
      <c r="D26" s="78">
        <v>0</v>
      </c>
      <c r="E26" s="79">
        <v>0</v>
      </c>
      <c r="F26" s="159">
        <f t="shared" si="1"/>
        <v>0</v>
      </c>
    </row>
    <row r="27" spans="4:6">
      <c r="D27" s="78">
        <v>0</v>
      </c>
      <c r="E27" s="79">
        <v>0</v>
      </c>
      <c r="F27" s="159">
        <f t="shared" si="1"/>
        <v>0</v>
      </c>
    </row>
    <row r="28" spans="4:6">
      <c r="D28" s="157">
        <v>0</v>
      </c>
      <c r="E28" s="158">
        <v>0</v>
      </c>
      <c r="F28" s="160">
        <f t="shared" si="1"/>
        <v>0</v>
      </c>
    </row>
    <row r="29" spans="4:6">
      <c r="D29" s="161">
        <v>0</v>
      </c>
      <c r="E29" s="163">
        <v>0</v>
      </c>
      <c r="F29" s="164">
        <f t="shared" si="1"/>
        <v>0</v>
      </c>
    </row>
    <row r="30" spans="4:6">
      <c r="D30" s="161">
        <v>0</v>
      </c>
      <c r="E30" s="163">
        <v>0</v>
      </c>
      <c r="F30" s="164">
        <f t="shared" si="1"/>
        <v>0</v>
      </c>
    </row>
    <row r="31" spans="4:6">
      <c r="D31" s="161">
        <v>0</v>
      </c>
      <c r="E31" s="163">
        <v>0</v>
      </c>
      <c r="F31" s="164">
        <f t="shared" si="1"/>
        <v>0</v>
      </c>
    </row>
    <row r="32" spans="4:6" ht="15" thickBot="1">
      <c r="D32" s="162">
        <v>0</v>
      </c>
      <c r="E32" s="165">
        <v>0</v>
      </c>
      <c r="F32" s="166">
        <f t="shared" si="1"/>
        <v>0</v>
      </c>
    </row>
  </sheetData>
  <phoneticPr fontId="17" type="noConversion"/>
  <dataValidations count="18">
    <dataValidation allowBlank="1" showInputMessage="1" showErrorMessage="1" prompt="Enter the number of a D rings" sqref="H11 B15 B42 H25"/>
    <dataValidation type="whole" operator="greaterThanOrEqual" allowBlank="1" showInputMessage="1" showErrorMessage="1" prompt="Enter the number of access doors on this curtaun. Access includes sliding track door, pvc door, power roll up, swing door, tec. This cost is for labor installation only. The door requires an additional quote." sqref="H10 B14 B40 H23">
      <formula1>0</formula1>
    </dataValidation>
    <dataValidation type="whole" operator="greaterThanOrEqual" allowBlank="1" showInputMessage="1" showErrorMessage="1" prompt="How many cuts outs needed in main curtain and valance?" sqref="H6 H19 B36">
      <formula1>0</formula1>
    </dataValidation>
    <dataValidation type="list" allowBlank="1" showInputMessage="1" showErrorMessage="1" sqref="I12 C9 C7 I9 I7 I24 I20 I22">
      <formula1>$C$86:$C$89</formula1>
    </dataValidation>
    <dataValidation type="list" allowBlank="1" showInputMessage="1" showErrorMessage="1" sqref="H8 H21">
      <formula1>$B$90:$B$93</formula1>
    </dataValidation>
    <dataValidation type="list" allowBlank="1" showInputMessage="1" showErrorMessage="1" sqref="H7 H24 H20 H9 H12 H22">
      <formula1>$A$90:$A$93</formula1>
    </dataValidation>
    <dataValidation type="decimal" operator="greaterThan" allowBlank="1" showInputMessage="1" showErrorMessage="1" sqref="H3:I4 C3:C4">
      <formula1>0</formula1>
    </dataValidation>
    <dataValidation type="decimal" operator="greaterThanOrEqual" allowBlank="1" showInputMessage="1" showErrorMessage="1" sqref="I30:I31 H16:I17 B33:B34 C29:C30">
      <formula1>0</formula1>
    </dataValidation>
    <dataValidation type="list" allowBlank="1" showInputMessage="1" showErrorMessage="1" sqref="C35 C37 C33">
      <formula1>$C$87:$C$90</formula1>
    </dataValidation>
    <dataValidation type="list" allowBlank="1" showInputMessage="1" showErrorMessage="1" sqref="B38">
      <formula1>$B$91:$B$94</formula1>
    </dataValidation>
    <dataValidation type="list" allowBlank="1" showInputMessage="1" showErrorMessage="1" sqref="B39 B41 B37">
      <formula1>$A$91:$A$94</formula1>
    </dataValidation>
    <dataValidation type="list" allowBlank="1" showInputMessage="1" showErrorMessage="1" sqref="H32:H33">
      <formula1>$I$86:$I$87</formula1>
    </dataValidation>
    <dataValidation operator="greaterThanOrEqual" allowBlank="1" showInputMessage="1" showErrorMessage="1" sqref="I32:I33"/>
    <dataValidation type="list" allowBlank="1" showInputMessage="1" showErrorMessage="1" sqref="H29">
      <formula1>"0,1,2,3,4,5"</formula1>
    </dataValidation>
    <dataValidation type="list" allowBlank="1" showInputMessage="1" showErrorMessage="1" sqref="B46 B3">
      <formula1>$E$87:$E$90</formula1>
    </dataValidation>
    <dataValidation type="list" allowBlank="1" showInputMessage="1" showErrorMessage="1" sqref="B48 B5">
      <formula1>$G$87:$G$88</formula1>
    </dataValidation>
    <dataValidation type="list" allowBlank="1" showInputMessage="1" showErrorMessage="1" sqref="B47 B4">
      <formula1>$F$87:$F$88</formula1>
    </dataValidation>
    <dataValidation type="date" operator="greaterThanOrEqual" allowBlank="1" showInputMessage="1" showErrorMessage="1" error="You must enter a date greater than today" prompt="Format: dd/mm/year" sqref="B13">
      <formula1>TODAY()</formula1>
    </dataValidation>
  </dataValidations>
  <pageMargins left="0.7" right="0.7" top="0.75" bottom="0.75" header="0.3" footer="0.3"/>
  <pageSetup scale="47"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H148"/>
  <sheetViews>
    <sheetView zoomScaleNormal="100" workbookViewId="0">
      <selection activeCell="A24" sqref="A24"/>
    </sheetView>
  </sheetViews>
  <sheetFormatPr defaultRowHeight="14.25"/>
  <cols>
    <col min="1" max="1" width="47" customWidth="1"/>
    <col min="2" max="2" width="18.625" bestFit="1" customWidth="1"/>
    <col min="3" max="3" width="40.125" bestFit="1" customWidth="1"/>
    <col min="4" max="4" width="10.875" bestFit="1" customWidth="1"/>
    <col min="5" max="5" width="14.75" bestFit="1" customWidth="1"/>
    <col min="6" max="7" width="22.875" bestFit="1" customWidth="1"/>
  </cols>
  <sheetData>
    <row r="1" spans="1:7" ht="21" thickBot="1">
      <c r="A1" s="20" t="s">
        <v>9</v>
      </c>
      <c r="C1" s="340" t="str">
        <f>'Fixed Curtain Officr Copy'!B3</f>
        <v>FR UV PVC 20 MIL Clear</v>
      </c>
    </row>
    <row r="2" spans="1:7" ht="20.25">
      <c r="A2" s="149" t="s">
        <v>34</v>
      </c>
      <c r="B2" s="150" t="s">
        <v>0</v>
      </c>
      <c r="C2" s="150" t="s">
        <v>1</v>
      </c>
      <c r="D2" s="150" t="s">
        <v>2</v>
      </c>
      <c r="E2" s="150" t="s">
        <v>200</v>
      </c>
      <c r="F2" s="150" t="s">
        <v>53</v>
      </c>
      <c r="G2" s="174" t="s">
        <v>130</v>
      </c>
    </row>
    <row r="3" spans="1:7">
      <c r="A3" s="153" t="s">
        <v>84</v>
      </c>
      <c r="B3" s="268">
        <f>'Fixed Curtain Officr Copy'!B5</f>
        <v>0</v>
      </c>
      <c r="C3" s="268">
        <f>'Fixed Curtain Officr Copy'!C5</f>
        <v>0</v>
      </c>
      <c r="D3" s="122">
        <f>'Fixed Curtain Officr Copy'!D5</f>
        <v>0</v>
      </c>
      <c r="E3" s="122" t="s">
        <v>19</v>
      </c>
      <c r="F3" s="119" t="e">
        <f ca="1">'Fixed Curtain Officr Copy'!I5</f>
        <v>#NAME?</v>
      </c>
      <c r="G3" s="341" t="e">
        <f ca="1">'Fixed Curtain Officr Copy'!K5</f>
        <v>#NAME?</v>
      </c>
    </row>
    <row r="4" spans="1:7">
      <c r="A4" s="153" t="s">
        <v>10</v>
      </c>
      <c r="B4" s="268">
        <f>'Fixed Curtain Officr Copy'!B6</f>
        <v>0</v>
      </c>
      <c r="C4" s="268">
        <f>'Fixed Curtain Officr Copy'!C6</f>
        <v>0</v>
      </c>
      <c r="D4" s="122">
        <f>'Fixed Curtain Officr Copy'!D6</f>
        <v>0</v>
      </c>
      <c r="E4" s="122" t="s">
        <v>19</v>
      </c>
      <c r="F4" s="119" t="e">
        <f ca="1">'Fixed Curtain Officr Copy'!I6</f>
        <v>#NAME?</v>
      </c>
      <c r="G4" s="341" t="e">
        <f ca="1">'Fixed Curtain Officr Copy'!K6</f>
        <v>#NAME?</v>
      </c>
    </row>
    <row r="5" spans="1:7" ht="20.25">
      <c r="A5" s="342" t="s">
        <v>35</v>
      </c>
      <c r="B5" s="269" t="str">
        <f>'Fixed Curtain Officr Copy'!B7</f>
        <v>~</v>
      </c>
      <c r="C5" s="267" t="s">
        <v>22</v>
      </c>
      <c r="D5" s="267" t="s">
        <v>22</v>
      </c>
      <c r="E5" s="271" t="s">
        <v>22</v>
      </c>
      <c r="F5" s="272" t="str">
        <f>'Fixed Curtain Officr Copy'!I7</f>
        <v>~</v>
      </c>
      <c r="G5" s="343" t="str">
        <f>'Fixed Curtain Officr Copy'!K7</f>
        <v>~</v>
      </c>
    </row>
    <row r="6" spans="1:7">
      <c r="A6" s="153" t="s">
        <v>90</v>
      </c>
      <c r="B6" s="268">
        <f>'Fixed Curtain Officr Copy'!B8</f>
        <v>0</v>
      </c>
      <c r="C6" s="268" t="str">
        <f>'Fixed Curtain Officr Copy'!C8</f>
        <v>N/A</v>
      </c>
      <c r="D6" s="268">
        <f>'Fixed Curtain Officr Copy'!D8</f>
        <v>0</v>
      </c>
      <c r="E6" s="122" t="s">
        <v>42</v>
      </c>
      <c r="F6" s="119">
        <f>'Fixed Curtain Officr Copy'!I8</f>
        <v>0</v>
      </c>
      <c r="G6" s="341">
        <f>'Fixed Curtain Officr Copy'!K8</f>
        <v>0</v>
      </c>
    </row>
    <row r="7" spans="1:7">
      <c r="A7" s="153" t="s">
        <v>16</v>
      </c>
      <c r="B7" s="268" t="str">
        <f>'Fixed Curtain Officr Copy'!B9</f>
        <v>None</v>
      </c>
      <c r="C7" s="268" t="str">
        <f>'Fixed Curtain Officr Copy'!C9</f>
        <v>None</v>
      </c>
      <c r="D7" s="268">
        <f>'Fixed Curtain Officr Copy'!D9</f>
        <v>0</v>
      </c>
      <c r="E7" s="117" t="s">
        <v>20</v>
      </c>
      <c r="F7" s="119">
        <f>'Fixed Curtain Officr Copy'!I9</f>
        <v>0</v>
      </c>
      <c r="G7" s="341">
        <f>'Fixed Curtain Officr Copy'!K9</f>
        <v>0</v>
      </c>
    </row>
    <row r="8" spans="1:7">
      <c r="A8" s="153" t="s">
        <v>17</v>
      </c>
      <c r="B8" s="268" t="str">
        <f>'Fixed Curtain Officr Copy'!B10</f>
        <v>None</v>
      </c>
      <c r="C8" s="268" t="str">
        <f>'Fixed Curtain Officr Copy'!C10</f>
        <v>N/A</v>
      </c>
      <c r="D8" s="268">
        <f>'Fixed Curtain Officr Copy'!D10</f>
        <v>0</v>
      </c>
      <c r="E8" s="117" t="s">
        <v>20</v>
      </c>
      <c r="F8" s="119">
        <f>'Fixed Curtain Officr Copy'!I10</f>
        <v>0</v>
      </c>
      <c r="G8" s="341">
        <f>'Fixed Curtain Officr Copy'!K10</f>
        <v>0</v>
      </c>
    </row>
    <row r="9" spans="1:7">
      <c r="A9" s="153" t="s">
        <v>18</v>
      </c>
      <c r="B9" s="268" t="str">
        <f>'Fixed Curtain Officr Copy'!B11</f>
        <v>None</v>
      </c>
      <c r="C9" s="268" t="str">
        <f>'Fixed Curtain Officr Copy'!C11</f>
        <v>None</v>
      </c>
      <c r="D9" s="268">
        <f>'Fixed Curtain Officr Copy'!D11</f>
        <v>0</v>
      </c>
      <c r="E9" s="117" t="s">
        <v>20</v>
      </c>
      <c r="F9" s="119">
        <f>'Fixed Curtain Officr Copy'!I11</f>
        <v>0</v>
      </c>
      <c r="G9" s="341">
        <f>'Fixed Curtain Officr Copy'!K11</f>
        <v>0</v>
      </c>
    </row>
    <row r="10" spans="1:7">
      <c r="A10" s="153" t="s">
        <v>227</v>
      </c>
      <c r="B10" s="268">
        <f>'Fixed Curtain Officr Copy'!B12</f>
        <v>0</v>
      </c>
      <c r="C10" s="268" t="str">
        <f>'Fixed Curtain Officr Copy'!C12</f>
        <v>N/A</v>
      </c>
      <c r="D10" s="268">
        <f>'Fixed Curtain Officr Copy'!D12</f>
        <v>0</v>
      </c>
      <c r="E10" s="117" t="s">
        <v>21</v>
      </c>
      <c r="F10" s="119">
        <f>'Fixed Curtain Officr Copy'!I12</f>
        <v>0</v>
      </c>
      <c r="G10" s="341">
        <f>'Fixed Curtain Officr Copy'!K12</f>
        <v>0</v>
      </c>
    </row>
    <row r="11" spans="1:7">
      <c r="A11" s="153" t="s">
        <v>156</v>
      </c>
      <c r="B11" s="268" t="str">
        <f>'Fixed Curtain Officr Copy'!B13</f>
        <v>No</v>
      </c>
      <c r="C11" s="268" t="str">
        <f>'Fixed Curtain Officr Copy'!C13</f>
        <v>N/A</v>
      </c>
      <c r="D11" s="268">
        <f>'Fixed Curtain Officr Copy'!D13</f>
        <v>0</v>
      </c>
      <c r="E11" s="117" t="s">
        <v>21</v>
      </c>
      <c r="F11" s="119">
        <f>'Fixed Curtain Officr Copy'!I13</f>
        <v>0</v>
      </c>
      <c r="G11" s="341">
        <f>'Fixed Curtain Officr Copy'!K13</f>
        <v>0</v>
      </c>
    </row>
    <row r="12" spans="1:7">
      <c r="A12" s="153" t="s">
        <v>43</v>
      </c>
      <c r="B12" s="268" t="str">
        <f>'Fixed Curtain Officr Copy'!B14</f>
        <v>None</v>
      </c>
      <c r="C12" s="268" t="str">
        <f>'Fixed Curtain Officr Copy'!C14</f>
        <v>None</v>
      </c>
      <c r="D12" s="268">
        <f>'Fixed Curtain Officr Copy'!D14</f>
        <v>0</v>
      </c>
      <c r="E12" s="117" t="s">
        <v>20</v>
      </c>
      <c r="F12" s="119">
        <f>'Fixed Curtain Officr Copy'!I14</f>
        <v>0</v>
      </c>
      <c r="G12" s="341">
        <f>'Fixed Curtain Officr Copy'!K14</f>
        <v>0</v>
      </c>
    </row>
    <row r="13" spans="1:7">
      <c r="A13" s="153" t="s">
        <v>216</v>
      </c>
      <c r="B13" s="268" t="str">
        <f>'Fixed Curtain Officr Copy'!B15</f>
        <v>No</v>
      </c>
      <c r="C13" s="268" t="str">
        <f>'Fixed Curtain Officr Copy'!C15</f>
        <v>None</v>
      </c>
      <c r="D13" s="268">
        <f>'Fixed Curtain Officr Copy'!D15</f>
        <v>0</v>
      </c>
      <c r="E13" s="117" t="s">
        <v>20</v>
      </c>
      <c r="F13" s="119">
        <f>'Fixed Curtain Officr Copy'!I15</f>
        <v>0</v>
      </c>
      <c r="G13" s="341">
        <f>'Fixed Curtain Officr Copy'!K15</f>
        <v>0</v>
      </c>
    </row>
    <row r="14" spans="1:7">
      <c r="A14" s="153" t="s">
        <v>217</v>
      </c>
      <c r="B14" s="268" t="str">
        <f>'Fixed Curtain Officr Copy'!B16</f>
        <v>No</v>
      </c>
      <c r="C14" s="268" t="str">
        <f>'Fixed Curtain Officr Copy'!C16</f>
        <v>N/A</v>
      </c>
      <c r="D14" s="268">
        <f>'Fixed Curtain Officr Copy'!D16</f>
        <v>0</v>
      </c>
      <c r="E14" s="117" t="s">
        <v>20</v>
      </c>
      <c r="F14" s="119">
        <f>'Fixed Curtain Officr Copy'!I16</f>
        <v>0</v>
      </c>
      <c r="G14" s="341">
        <f>'Fixed Curtain Officr Copy'!K16</f>
        <v>0</v>
      </c>
    </row>
    <row r="15" spans="1:7">
      <c r="A15" s="153" t="s">
        <v>218</v>
      </c>
      <c r="B15" s="268">
        <f>'Fixed Curtain Officr Copy'!B17</f>
        <v>0</v>
      </c>
      <c r="C15" s="268" t="str">
        <f>'Fixed Curtain Officr Copy'!C17</f>
        <v>N/A</v>
      </c>
      <c r="D15" s="268">
        <f>'Fixed Curtain Officr Copy'!D17</f>
        <v>0</v>
      </c>
      <c r="E15" s="117" t="s">
        <v>20</v>
      </c>
      <c r="F15" s="119">
        <f>'Fixed Curtain Officr Copy'!I17</f>
        <v>0</v>
      </c>
      <c r="G15" s="341">
        <f>'Fixed Curtain Officr Copy'!K17</f>
        <v>0</v>
      </c>
    </row>
    <row r="16" spans="1:7" ht="15" thickBot="1">
      <c r="A16" s="95" t="s">
        <v>93</v>
      </c>
      <c r="B16" s="283" t="str">
        <f>'Fixed Curtain Officr Copy'!B18</f>
        <v>N/A</v>
      </c>
      <c r="C16" s="283" t="str">
        <f>'Fixed Curtain Officr Copy'!C18</f>
        <v>N/A</v>
      </c>
      <c r="D16" s="283" t="str">
        <f>'Fixed Curtain Officr Copy'!D18</f>
        <v>N/A</v>
      </c>
      <c r="E16" s="337" t="s">
        <v>21</v>
      </c>
      <c r="F16" s="101">
        <f>'Fixed Curtain Officr Copy'!I18</f>
        <v>0</v>
      </c>
      <c r="G16" s="344">
        <f>'Fixed Curtain Officr Copy'!K18</f>
        <v>0</v>
      </c>
    </row>
    <row r="17" spans="1:7" ht="18.75" thickBot="1">
      <c r="A17" s="370"/>
      <c r="B17" s="372"/>
      <c r="C17" s="338" t="s">
        <v>186</v>
      </c>
      <c r="D17" s="339">
        <f>'Fixed Curtain Officr Copy'!D19</f>
        <v>0</v>
      </c>
      <c r="E17" s="338" t="s">
        <v>228</v>
      </c>
      <c r="F17" s="351" t="e">
        <f ca="1">'Fixed Curtain Officr Copy'!U18</f>
        <v>#NAME?</v>
      </c>
      <c r="G17" s="352" t="e">
        <f ca="1">'Fixed Curtain Officr Copy'!B19</f>
        <v>#NAME?</v>
      </c>
    </row>
    <row r="18" spans="1:7">
      <c r="C18" s="133"/>
      <c r="D18" s="133"/>
      <c r="E18" s="132"/>
      <c r="F18" s="133"/>
      <c r="G18" s="133"/>
    </row>
    <row r="19" spans="1:7">
      <c r="C19" s="133"/>
      <c r="D19" s="133"/>
      <c r="E19" s="132"/>
      <c r="F19" s="133"/>
      <c r="G19" s="133"/>
    </row>
    <row r="20" spans="1:7">
      <c r="C20" s="133"/>
      <c r="D20" s="133"/>
      <c r="E20" s="132"/>
      <c r="F20" s="133"/>
      <c r="G20" s="133"/>
    </row>
    <row r="21" spans="1:7">
      <c r="C21" s="133"/>
      <c r="D21" s="133"/>
      <c r="E21" s="132"/>
      <c r="F21" s="133"/>
      <c r="G21" s="133"/>
    </row>
    <row r="22" spans="1:7" ht="15" thickBot="1">
      <c r="A22" s="133"/>
      <c r="B22" s="135"/>
      <c r="C22" s="133"/>
      <c r="D22" s="136"/>
      <c r="E22" s="132"/>
      <c r="F22" s="133"/>
      <c r="G22" s="133"/>
    </row>
    <row r="23" spans="1:7" ht="21" thickBot="1">
      <c r="A23" s="20" t="s">
        <v>11</v>
      </c>
      <c r="B23" s="132"/>
      <c r="C23" s="340" t="str">
        <f>'Fixed Curtain Officr Copy'!B23</f>
        <v>MATERIAL</v>
      </c>
      <c r="D23" s="132"/>
      <c r="E23" s="132"/>
      <c r="F23" s="132"/>
      <c r="G23" s="132"/>
    </row>
    <row r="24" spans="1:7" ht="20.25">
      <c r="A24" s="149" t="s">
        <v>34</v>
      </c>
      <c r="B24" s="150" t="s">
        <v>0</v>
      </c>
      <c r="C24" s="150" t="s">
        <v>1</v>
      </c>
      <c r="D24" s="150" t="s">
        <v>2</v>
      </c>
      <c r="E24" s="150" t="s">
        <v>200</v>
      </c>
      <c r="F24" s="150" t="s">
        <v>53</v>
      </c>
      <c r="G24" s="174" t="s">
        <v>130</v>
      </c>
    </row>
    <row r="25" spans="1:7">
      <c r="A25" s="153" t="s">
        <v>85</v>
      </c>
      <c r="B25" s="268">
        <f>'Fixed Curtain Officr Copy'!B25</f>
        <v>0</v>
      </c>
      <c r="C25" s="268">
        <f>'Fixed Curtain Officr Copy'!C25</f>
        <v>0</v>
      </c>
      <c r="D25" s="268">
        <f>'Fixed Curtain Officr Copy'!D25</f>
        <v>0</v>
      </c>
      <c r="E25" s="122" t="s">
        <v>19</v>
      </c>
      <c r="F25" s="119" t="e">
        <f ca="1">'Fixed Curtain Officr Copy'!I25</f>
        <v>#NAME?</v>
      </c>
      <c r="G25" s="341" t="e">
        <f ca="1">'Fixed Curtain Officr Copy'!K25</f>
        <v>#NAME?</v>
      </c>
    </row>
    <row r="26" spans="1:7">
      <c r="A26" s="153" t="s">
        <v>12</v>
      </c>
      <c r="B26" s="268">
        <f>'Fixed Curtain Officr Copy'!B26</f>
        <v>0</v>
      </c>
      <c r="C26" s="268">
        <f>'Fixed Curtain Officr Copy'!C26</f>
        <v>0</v>
      </c>
      <c r="D26" s="268">
        <f>'Fixed Curtain Officr Copy'!D26</f>
        <v>0</v>
      </c>
      <c r="E26" s="122" t="s">
        <v>19</v>
      </c>
      <c r="F26" s="119" t="e">
        <f ca="1">'Fixed Curtain Officr Copy'!I26</f>
        <v>#NAME?</v>
      </c>
      <c r="G26" s="341" t="e">
        <f ca="1">'Fixed Curtain Officr Copy'!K26</f>
        <v>#NAME?</v>
      </c>
    </row>
    <row r="27" spans="1:7" ht="20.25">
      <c r="A27" s="342" t="s">
        <v>35</v>
      </c>
      <c r="B27" s="272" t="str">
        <f>'Fixed Curtain Officr Copy'!B27</f>
        <v>~</v>
      </c>
      <c r="C27" s="272" t="str">
        <f>'Fixed Curtain Officr Copy'!C27</f>
        <v>~</v>
      </c>
      <c r="D27" s="272" t="str">
        <f>'Fixed Curtain Officr Copy'!D27</f>
        <v>~</v>
      </c>
      <c r="E27" s="271" t="s">
        <v>22</v>
      </c>
      <c r="F27" s="272" t="str">
        <f>'Fixed Curtain Officr Copy'!I27</f>
        <v>~</v>
      </c>
      <c r="G27" s="343" t="str">
        <f>'Fixed Curtain Officr Copy'!K27</f>
        <v>~</v>
      </c>
    </row>
    <row r="28" spans="1:7">
      <c r="A28" s="153" t="s">
        <v>90</v>
      </c>
      <c r="B28" s="268">
        <f>'Fixed Curtain Officr Copy'!B28</f>
        <v>0</v>
      </c>
      <c r="C28" s="268" t="str">
        <f>'Fixed Curtain Officr Copy'!C28</f>
        <v>N/A</v>
      </c>
      <c r="D28" s="268">
        <f>'Fixed Curtain Officr Copy'!D28</f>
        <v>0</v>
      </c>
      <c r="E28" s="122" t="s">
        <v>42</v>
      </c>
      <c r="F28" s="119">
        <f>'Fixed Curtain Officr Copy'!I28</f>
        <v>0</v>
      </c>
      <c r="G28" s="341">
        <f>'Fixed Curtain Officr Copy'!K28</f>
        <v>0</v>
      </c>
    </row>
    <row r="29" spans="1:7">
      <c r="A29" s="153" t="s">
        <v>16</v>
      </c>
      <c r="B29" s="268" t="str">
        <f>'Fixed Curtain Officr Copy'!B29</f>
        <v>None</v>
      </c>
      <c r="C29" s="268" t="str">
        <f>'Fixed Curtain Officr Copy'!C29</f>
        <v>None</v>
      </c>
      <c r="D29" s="268">
        <f>'Fixed Curtain Officr Copy'!D29</f>
        <v>0</v>
      </c>
      <c r="E29" s="117" t="s">
        <v>20</v>
      </c>
      <c r="F29" s="119">
        <f>'Fixed Curtain Officr Copy'!I29</f>
        <v>0</v>
      </c>
      <c r="G29" s="341">
        <f>'Fixed Curtain Officr Copy'!K29</f>
        <v>0</v>
      </c>
    </row>
    <row r="30" spans="1:7">
      <c r="A30" s="153" t="s">
        <v>17</v>
      </c>
      <c r="B30" s="268" t="str">
        <f>'Fixed Curtain Officr Copy'!B30</f>
        <v>None</v>
      </c>
      <c r="C30" s="268" t="str">
        <f>'Fixed Curtain Officr Copy'!C30</f>
        <v>N/A</v>
      </c>
      <c r="D30" s="268">
        <f>'Fixed Curtain Officr Copy'!D30</f>
        <v>0</v>
      </c>
      <c r="E30" s="117" t="s">
        <v>20</v>
      </c>
      <c r="F30" s="119">
        <f>'Fixed Curtain Officr Copy'!I30</f>
        <v>0</v>
      </c>
      <c r="G30" s="341">
        <f>'Fixed Curtain Officr Copy'!K30</f>
        <v>0</v>
      </c>
    </row>
    <row r="31" spans="1:7">
      <c r="A31" s="153" t="s">
        <v>18</v>
      </c>
      <c r="B31" s="268" t="str">
        <f>'Fixed Curtain Officr Copy'!B31</f>
        <v>None</v>
      </c>
      <c r="C31" s="268" t="str">
        <f>'Fixed Curtain Officr Copy'!C31</f>
        <v>None</v>
      </c>
      <c r="D31" s="268">
        <f>'Fixed Curtain Officr Copy'!D31</f>
        <v>0</v>
      </c>
      <c r="E31" s="117" t="s">
        <v>20</v>
      </c>
      <c r="F31" s="119">
        <f>'Fixed Curtain Officr Copy'!I31</f>
        <v>0</v>
      </c>
      <c r="G31" s="341">
        <f>'Fixed Curtain Officr Copy'!K31</f>
        <v>0</v>
      </c>
    </row>
    <row r="32" spans="1:7">
      <c r="A32" s="153" t="s">
        <v>227</v>
      </c>
      <c r="B32" s="268">
        <f>'Fixed Curtain Officr Copy'!B32</f>
        <v>0</v>
      </c>
      <c r="C32" s="268" t="str">
        <f>'Fixed Curtain Officr Copy'!C32</f>
        <v>N/A</v>
      </c>
      <c r="D32" s="268">
        <f>'Fixed Curtain Officr Copy'!D32</f>
        <v>0</v>
      </c>
      <c r="E32" s="117" t="s">
        <v>21</v>
      </c>
      <c r="F32" s="119">
        <f>'Fixed Curtain Officr Copy'!I32</f>
        <v>0</v>
      </c>
      <c r="G32" s="341">
        <f>'Fixed Curtain Officr Copy'!K32</f>
        <v>0</v>
      </c>
    </row>
    <row r="33" spans="1:7">
      <c r="A33" s="153" t="s">
        <v>156</v>
      </c>
      <c r="B33" s="268" t="str">
        <f>'Fixed Curtain Officr Copy'!B33</f>
        <v>No</v>
      </c>
      <c r="C33" s="268" t="str">
        <f>'Fixed Curtain Officr Copy'!C33</f>
        <v>N/A</v>
      </c>
      <c r="D33" s="268">
        <f>'Fixed Curtain Officr Copy'!D33</f>
        <v>0</v>
      </c>
      <c r="E33" s="117" t="s">
        <v>21</v>
      </c>
      <c r="F33" s="119">
        <f>'Fixed Curtain Officr Copy'!I33</f>
        <v>0</v>
      </c>
      <c r="G33" s="341">
        <f>'Fixed Curtain Officr Copy'!K33</f>
        <v>0</v>
      </c>
    </row>
    <row r="34" spans="1:7">
      <c r="A34" s="153" t="s">
        <v>43</v>
      </c>
      <c r="B34" s="268" t="str">
        <f>'Fixed Curtain Officr Copy'!B34</f>
        <v>None</v>
      </c>
      <c r="C34" s="268" t="str">
        <f>'Fixed Curtain Officr Copy'!C34</f>
        <v>None</v>
      </c>
      <c r="D34" s="268">
        <f>'Fixed Curtain Officr Copy'!D34</f>
        <v>0</v>
      </c>
      <c r="E34" s="117" t="s">
        <v>20</v>
      </c>
      <c r="F34" s="119">
        <f>'Fixed Curtain Officr Copy'!I34</f>
        <v>0</v>
      </c>
      <c r="G34" s="341">
        <f>'Fixed Curtain Officr Copy'!K34</f>
        <v>0</v>
      </c>
    </row>
    <row r="35" spans="1:7">
      <c r="A35" s="153" t="s">
        <v>216</v>
      </c>
      <c r="B35" s="268" t="str">
        <f>'Fixed Curtain Officr Copy'!B35</f>
        <v>No</v>
      </c>
      <c r="C35" s="268" t="str">
        <f>'Fixed Curtain Officr Copy'!C35</f>
        <v>N/A</v>
      </c>
      <c r="D35" s="268">
        <f>'Fixed Curtain Officr Copy'!D35</f>
        <v>0</v>
      </c>
      <c r="E35" s="117" t="s">
        <v>20</v>
      </c>
      <c r="F35" s="119">
        <f>'Fixed Curtain Officr Copy'!I35</f>
        <v>0</v>
      </c>
      <c r="G35" s="341">
        <f>'Fixed Curtain Officr Copy'!K35</f>
        <v>0</v>
      </c>
    </row>
    <row r="36" spans="1:7">
      <c r="A36" s="153" t="s">
        <v>217</v>
      </c>
      <c r="B36" s="268" t="str">
        <f>'Fixed Curtain Officr Copy'!B36</f>
        <v>No</v>
      </c>
      <c r="C36" s="268" t="str">
        <f>'Fixed Curtain Officr Copy'!C36</f>
        <v>N/A</v>
      </c>
      <c r="D36" s="268">
        <f>'Fixed Curtain Officr Copy'!D36</f>
        <v>0</v>
      </c>
      <c r="E36" s="117" t="s">
        <v>20</v>
      </c>
      <c r="F36" s="119">
        <f>'Fixed Curtain Officr Copy'!I36</f>
        <v>0</v>
      </c>
      <c r="G36" s="341">
        <f>'Fixed Curtain Officr Copy'!K36</f>
        <v>0</v>
      </c>
    </row>
    <row r="37" spans="1:7">
      <c r="A37" s="153" t="s">
        <v>218</v>
      </c>
      <c r="B37" s="268">
        <f>'Fixed Curtain Officr Copy'!B37</f>
        <v>0</v>
      </c>
      <c r="C37" s="268" t="str">
        <f>'Fixed Curtain Officr Copy'!C37</f>
        <v>N/A</v>
      </c>
      <c r="D37" s="268">
        <f>'Fixed Curtain Officr Copy'!D37</f>
        <v>0</v>
      </c>
      <c r="E37" s="117" t="s">
        <v>20</v>
      </c>
      <c r="F37" s="119">
        <f>'Fixed Curtain Officr Copy'!I37</f>
        <v>0</v>
      </c>
      <c r="G37" s="341">
        <f>'Fixed Curtain Officr Copy'!K37</f>
        <v>0</v>
      </c>
    </row>
    <row r="38" spans="1:7" ht="15" thickBot="1">
      <c r="A38" s="153" t="s">
        <v>93</v>
      </c>
      <c r="B38" s="268" t="str">
        <f>'Fixed Curtain Officr Copy'!B38</f>
        <v>N/A</v>
      </c>
      <c r="C38" s="268" t="str">
        <f>'Fixed Curtain Officr Copy'!C38</f>
        <v>N/A</v>
      </c>
      <c r="D38" s="268" t="str">
        <f>'Fixed Curtain Officr Copy'!D38</f>
        <v>N/A</v>
      </c>
      <c r="E38" s="117" t="s">
        <v>21</v>
      </c>
      <c r="F38" s="119">
        <f>'Fixed Curtain Officr Copy'!I38</f>
        <v>0</v>
      </c>
      <c r="G38" s="341">
        <f>'Fixed Curtain Officr Copy'!K38</f>
        <v>0</v>
      </c>
    </row>
    <row r="39" spans="1:7" ht="18.75" thickBot="1">
      <c r="A39" s="370"/>
      <c r="B39" s="372"/>
      <c r="C39" s="338" t="s">
        <v>186</v>
      </c>
      <c r="D39" s="339">
        <f>'Fixed Curtain Officr Copy'!D39</f>
        <v>0</v>
      </c>
      <c r="E39" s="338" t="s">
        <v>228</v>
      </c>
      <c r="F39" s="351" t="e">
        <f ca="1">'Fixed Curtain Officr Copy'!U19</f>
        <v>#NAME?</v>
      </c>
      <c r="G39" s="352" t="e">
        <f ca="1">'Fixed Curtain Officr Copy'!B39</f>
        <v>#NAME?</v>
      </c>
    </row>
    <row r="45" spans="1:7" ht="15" thickBot="1">
      <c r="A45" s="133"/>
      <c r="B45" s="135"/>
      <c r="C45" s="133"/>
      <c r="D45" s="136"/>
      <c r="E45" s="132"/>
      <c r="F45" s="133"/>
      <c r="G45" s="133"/>
    </row>
    <row r="46" spans="1:7" ht="21" thickBot="1">
      <c r="A46" s="20" t="s">
        <v>13</v>
      </c>
      <c r="B46" s="132"/>
      <c r="C46" s="340" t="str">
        <f>'Fixed Curtain Officr Copy'!B43</f>
        <v>MATERIAL</v>
      </c>
      <c r="D46" s="132"/>
      <c r="E46" s="132"/>
      <c r="F46" s="132"/>
      <c r="G46" s="132"/>
    </row>
    <row r="47" spans="1:7" ht="20.25">
      <c r="A47" s="149" t="s">
        <v>34</v>
      </c>
      <c r="B47" s="150" t="s">
        <v>0</v>
      </c>
      <c r="C47" s="150" t="s">
        <v>1</v>
      </c>
      <c r="D47" s="150" t="s">
        <v>2</v>
      </c>
      <c r="E47" s="150" t="s">
        <v>200</v>
      </c>
      <c r="F47" s="150" t="s">
        <v>53</v>
      </c>
      <c r="G47" s="174" t="s">
        <v>130</v>
      </c>
    </row>
    <row r="48" spans="1:7">
      <c r="A48" s="153" t="s">
        <v>88</v>
      </c>
      <c r="B48" s="268">
        <f>'Fixed Curtain Officr Copy'!B45</f>
        <v>0</v>
      </c>
      <c r="C48" s="268">
        <f>'Fixed Curtain Officr Copy'!C45</f>
        <v>0</v>
      </c>
      <c r="D48" s="268">
        <f>'Fixed Curtain Officr Copy'!D45</f>
        <v>0</v>
      </c>
      <c r="E48" s="122" t="s">
        <v>19</v>
      </c>
      <c r="F48" s="119" t="e">
        <f ca="1">'Fixed Curtain Officr Copy'!I45</f>
        <v>#NAME?</v>
      </c>
      <c r="G48" s="341" t="e">
        <f ca="1">'Fixed Curtain Officr Copy'!K45</f>
        <v>#NAME?</v>
      </c>
    </row>
    <row r="49" spans="1:7">
      <c r="A49" s="153" t="s">
        <v>172</v>
      </c>
      <c r="B49" s="268">
        <f>'Fixed Curtain Officr Copy'!B46</f>
        <v>0</v>
      </c>
      <c r="C49" s="268">
        <f>'Fixed Curtain Officr Copy'!C46</f>
        <v>0</v>
      </c>
      <c r="D49" s="268">
        <f>'Fixed Curtain Officr Copy'!D46</f>
        <v>0</v>
      </c>
      <c r="E49" s="122" t="s">
        <v>19</v>
      </c>
      <c r="F49" s="119" t="e">
        <f ca="1">'Fixed Curtain Officr Copy'!I46</f>
        <v>#NAME?</v>
      </c>
      <c r="G49" s="341" t="e">
        <f ca="1">'Fixed Curtain Officr Copy'!K46</f>
        <v>#NAME?</v>
      </c>
    </row>
    <row r="50" spans="1:7" ht="20.25">
      <c r="A50" s="342" t="s">
        <v>35</v>
      </c>
      <c r="B50" s="272" t="str">
        <f>'Fixed Curtain Officr Copy'!B47</f>
        <v>~</v>
      </c>
      <c r="C50" s="272" t="str">
        <f>'Fixed Curtain Officr Copy'!C47</f>
        <v>~</v>
      </c>
      <c r="D50" s="272" t="str">
        <f>'Fixed Curtain Officr Copy'!D47</f>
        <v>~</v>
      </c>
      <c r="E50" s="267" t="s">
        <v>22</v>
      </c>
      <c r="F50" s="272" t="str">
        <f>'Fixed Curtain Officr Copy'!I47</f>
        <v>~</v>
      </c>
      <c r="G50" s="343" t="str">
        <f>'Fixed Curtain Officr Copy'!K47</f>
        <v>~</v>
      </c>
    </row>
    <row r="51" spans="1:7">
      <c r="A51" s="153" t="s">
        <v>90</v>
      </c>
      <c r="B51" s="268">
        <f>'Fixed Curtain Officr Copy'!B48</f>
        <v>0</v>
      </c>
      <c r="C51" s="268" t="str">
        <f>'Fixed Curtain Officr Copy'!C48</f>
        <v>N/A</v>
      </c>
      <c r="D51" s="268">
        <f>'Fixed Curtain Officr Copy'!D48</f>
        <v>0</v>
      </c>
      <c r="E51" s="122" t="s">
        <v>42</v>
      </c>
      <c r="F51" s="119">
        <f>'Fixed Curtain Officr Copy'!I48</f>
        <v>0</v>
      </c>
      <c r="G51" s="341">
        <f>'Fixed Curtain Officr Copy'!K48</f>
        <v>0</v>
      </c>
    </row>
    <row r="52" spans="1:7">
      <c r="A52" s="153" t="s">
        <v>16</v>
      </c>
      <c r="B52" s="268" t="str">
        <f>'Fixed Curtain Officr Copy'!B49</f>
        <v>None</v>
      </c>
      <c r="C52" s="268" t="str">
        <f>'Fixed Curtain Officr Copy'!C49</f>
        <v>None</v>
      </c>
      <c r="D52" s="268">
        <f>'Fixed Curtain Officr Copy'!D49</f>
        <v>0</v>
      </c>
      <c r="E52" s="117" t="s">
        <v>20</v>
      </c>
      <c r="F52" s="119">
        <f>'Fixed Curtain Officr Copy'!I49</f>
        <v>0</v>
      </c>
      <c r="G52" s="341">
        <f>'Fixed Curtain Officr Copy'!K49</f>
        <v>0</v>
      </c>
    </row>
    <row r="53" spans="1:7">
      <c r="A53" s="153" t="s">
        <v>17</v>
      </c>
      <c r="B53" s="268" t="str">
        <f>'Fixed Curtain Officr Copy'!B50</f>
        <v>None</v>
      </c>
      <c r="C53" s="268" t="str">
        <f>'Fixed Curtain Officr Copy'!C50</f>
        <v>N/A</v>
      </c>
      <c r="D53" s="268">
        <f>'Fixed Curtain Officr Copy'!D50</f>
        <v>0</v>
      </c>
      <c r="E53" s="117" t="s">
        <v>20</v>
      </c>
      <c r="F53" s="119">
        <f>'Fixed Curtain Officr Copy'!I50</f>
        <v>0</v>
      </c>
      <c r="G53" s="341">
        <f>'Fixed Curtain Officr Copy'!K50</f>
        <v>0</v>
      </c>
    </row>
    <row r="54" spans="1:7">
      <c r="A54" s="153" t="s">
        <v>18</v>
      </c>
      <c r="B54" s="268" t="str">
        <f>'Fixed Curtain Officr Copy'!B51</f>
        <v>None</v>
      </c>
      <c r="C54" s="268" t="str">
        <f>'Fixed Curtain Officr Copy'!C51</f>
        <v>None</v>
      </c>
      <c r="D54" s="268">
        <f>'Fixed Curtain Officr Copy'!D51</f>
        <v>0</v>
      </c>
      <c r="E54" s="117" t="s">
        <v>20</v>
      </c>
      <c r="F54" s="119">
        <f>'Fixed Curtain Officr Copy'!I51</f>
        <v>0</v>
      </c>
      <c r="G54" s="341">
        <f>'Fixed Curtain Officr Copy'!K51</f>
        <v>0</v>
      </c>
    </row>
    <row r="55" spans="1:7">
      <c r="A55" s="153" t="s">
        <v>227</v>
      </c>
      <c r="B55" s="268">
        <f>'Fixed Curtain Officr Copy'!B52</f>
        <v>0</v>
      </c>
      <c r="C55" s="268" t="str">
        <f>'Fixed Curtain Officr Copy'!C52</f>
        <v>N/A</v>
      </c>
      <c r="D55" s="268">
        <f>'Fixed Curtain Officr Copy'!D52</f>
        <v>0</v>
      </c>
      <c r="E55" s="117" t="s">
        <v>21</v>
      </c>
      <c r="F55" s="119">
        <f>'Fixed Curtain Officr Copy'!I52</f>
        <v>0</v>
      </c>
      <c r="G55" s="341">
        <f>'Fixed Curtain Officr Copy'!K52</f>
        <v>0</v>
      </c>
    </row>
    <row r="56" spans="1:7">
      <c r="A56" s="153" t="s">
        <v>156</v>
      </c>
      <c r="B56" s="268" t="str">
        <f>'Fixed Curtain Officr Copy'!B53</f>
        <v>No</v>
      </c>
      <c r="C56" s="268" t="str">
        <f>'Fixed Curtain Officr Copy'!C53</f>
        <v>N/A</v>
      </c>
      <c r="D56" s="268">
        <f>'Fixed Curtain Officr Copy'!D53</f>
        <v>0</v>
      </c>
      <c r="E56" s="117" t="s">
        <v>21</v>
      </c>
      <c r="F56" s="119">
        <f>'Fixed Curtain Officr Copy'!I53</f>
        <v>0</v>
      </c>
      <c r="G56" s="341">
        <f>'Fixed Curtain Officr Copy'!K53</f>
        <v>0</v>
      </c>
    </row>
    <row r="57" spans="1:7">
      <c r="A57" s="153" t="s">
        <v>43</v>
      </c>
      <c r="B57" s="268" t="str">
        <f>'Fixed Curtain Officr Copy'!B54</f>
        <v>None</v>
      </c>
      <c r="C57" s="268" t="str">
        <f>'Fixed Curtain Officr Copy'!C54</f>
        <v>None</v>
      </c>
      <c r="D57" s="268">
        <f>'Fixed Curtain Officr Copy'!D54</f>
        <v>0</v>
      </c>
      <c r="E57" s="117" t="s">
        <v>20</v>
      </c>
      <c r="F57" s="119">
        <f>'Fixed Curtain Officr Copy'!I54</f>
        <v>0</v>
      </c>
      <c r="G57" s="341">
        <f>'Fixed Curtain Officr Copy'!K54</f>
        <v>0</v>
      </c>
    </row>
    <row r="58" spans="1:7">
      <c r="A58" s="153" t="s">
        <v>216</v>
      </c>
      <c r="B58" s="268" t="str">
        <f>'Fixed Curtain Officr Copy'!B55</f>
        <v>No</v>
      </c>
      <c r="C58" s="268" t="str">
        <f>'Fixed Curtain Officr Copy'!C55</f>
        <v>N/A</v>
      </c>
      <c r="D58" s="268">
        <f>'Fixed Curtain Officr Copy'!D55</f>
        <v>0</v>
      </c>
      <c r="E58" s="117" t="s">
        <v>20</v>
      </c>
      <c r="F58" s="119">
        <f>'Fixed Curtain Officr Copy'!I55</f>
        <v>0</v>
      </c>
      <c r="G58" s="341">
        <f>'Fixed Curtain Officr Copy'!K55</f>
        <v>0</v>
      </c>
    </row>
    <row r="59" spans="1:7">
      <c r="A59" s="153" t="s">
        <v>217</v>
      </c>
      <c r="B59" s="268" t="str">
        <f>'Fixed Curtain Officr Copy'!B56</f>
        <v>No</v>
      </c>
      <c r="C59" s="268" t="str">
        <f>'Fixed Curtain Officr Copy'!C56</f>
        <v>N/A</v>
      </c>
      <c r="D59" s="268">
        <f>'Fixed Curtain Officr Copy'!D56</f>
        <v>0</v>
      </c>
      <c r="E59" s="117" t="s">
        <v>20</v>
      </c>
      <c r="F59" s="119">
        <f>'Fixed Curtain Officr Copy'!I56</f>
        <v>0</v>
      </c>
      <c r="G59" s="341">
        <f>'Fixed Curtain Officr Copy'!K56</f>
        <v>0</v>
      </c>
    </row>
    <row r="60" spans="1:7">
      <c r="A60" s="153" t="s">
        <v>218</v>
      </c>
      <c r="B60" s="268">
        <f>'Fixed Curtain Officr Copy'!B57</f>
        <v>0</v>
      </c>
      <c r="C60" s="268" t="str">
        <f>'Fixed Curtain Officr Copy'!C57</f>
        <v>N/A</v>
      </c>
      <c r="D60" s="268">
        <f>'Fixed Curtain Officr Copy'!D57</f>
        <v>0</v>
      </c>
      <c r="E60" s="117" t="s">
        <v>20</v>
      </c>
      <c r="F60" s="119">
        <f>'Fixed Curtain Officr Copy'!I57</f>
        <v>0</v>
      </c>
      <c r="G60" s="341">
        <f>'Fixed Curtain Officr Copy'!K57</f>
        <v>0</v>
      </c>
    </row>
    <row r="61" spans="1:7" ht="15" thickBot="1">
      <c r="A61" s="153" t="s">
        <v>93</v>
      </c>
      <c r="B61" s="268" t="str">
        <f>'Fixed Curtain Officr Copy'!B58</f>
        <v>N/A</v>
      </c>
      <c r="C61" s="268" t="str">
        <f>'Fixed Curtain Officr Copy'!C58</f>
        <v>N/A</v>
      </c>
      <c r="D61" s="268" t="str">
        <f>'Fixed Curtain Officr Copy'!D58</f>
        <v>N/A</v>
      </c>
      <c r="E61" s="117" t="s">
        <v>21</v>
      </c>
      <c r="F61" s="119">
        <f>'Fixed Curtain Officr Copy'!I58</f>
        <v>0</v>
      </c>
      <c r="G61" s="341">
        <f>'Fixed Curtain Officr Copy'!K58</f>
        <v>0</v>
      </c>
    </row>
    <row r="62" spans="1:7" ht="18.75" thickBot="1">
      <c r="A62" s="370"/>
      <c r="B62" s="372"/>
      <c r="C62" s="338" t="s">
        <v>186</v>
      </c>
      <c r="D62" s="339">
        <f>'Fixed Curtain Officr Copy'!D59</f>
        <v>0</v>
      </c>
      <c r="E62" s="338" t="s">
        <v>228</v>
      </c>
      <c r="F62" s="351" t="e">
        <f ca="1">SUM(F48:F49,F51:F61)</f>
        <v>#NAME?</v>
      </c>
      <c r="G62" s="352" t="e">
        <f ca="1">'Fixed Curtain Officr Copy'!B59</f>
        <v>#NAME?</v>
      </c>
    </row>
    <row r="63" spans="1:7">
      <c r="C63" s="133"/>
      <c r="D63" s="133"/>
      <c r="E63" s="132"/>
      <c r="F63" s="133"/>
      <c r="G63" s="133"/>
    </row>
    <row r="64" spans="1:7">
      <c r="C64" s="133"/>
      <c r="D64" s="133"/>
      <c r="E64" s="132"/>
      <c r="F64" s="133"/>
      <c r="G64" s="133"/>
    </row>
    <row r="65" spans="1:7">
      <c r="C65" s="133"/>
      <c r="D65" s="133"/>
      <c r="E65" s="132"/>
      <c r="F65" s="133"/>
      <c r="G65" s="133"/>
    </row>
    <row r="66" spans="1:7">
      <c r="C66" s="133"/>
      <c r="D66" s="133"/>
      <c r="E66" s="132"/>
      <c r="F66" s="133"/>
      <c r="G66" s="133"/>
    </row>
    <row r="67" spans="1:7" ht="15" thickBot="1">
      <c r="A67" s="133"/>
      <c r="B67" s="135"/>
      <c r="C67" s="133"/>
      <c r="D67" s="136"/>
      <c r="E67" s="132"/>
      <c r="F67" s="133"/>
      <c r="G67" s="133"/>
    </row>
    <row r="68" spans="1:7" ht="21" thickBot="1">
      <c r="A68" s="20" t="s">
        <v>14</v>
      </c>
      <c r="B68" s="132"/>
      <c r="C68" s="340" t="str">
        <f>'Fixed Curtain Officr Copy'!B63</f>
        <v>MATERIAL</v>
      </c>
      <c r="D68" s="132"/>
      <c r="E68" s="132"/>
      <c r="F68" s="132"/>
      <c r="G68" s="132"/>
    </row>
    <row r="69" spans="1:7" ht="20.25">
      <c r="A69" s="149" t="s">
        <v>34</v>
      </c>
      <c r="B69" s="150" t="s">
        <v>0</v>
      </c>
      <c r="C69" s="150" t="s">
        <v>1</v>
      </c>
      <c r="D69" s="150" t="s">
        <v>2</v>
      </c>
      <c r="E69" s="150" t="s">
        <v>200</v>
      </c>
      <c r="F69" s="150" t="s">
        <v>53</v>
      </c>
      <c r="G69" s="174" t="s">
        <v>130</v>
      </c>
    </row>
    <row r="70" spans="1:7">
      <c r="A70" s="153" t="s">
        <v>87</v>
      </c>
      <c r="B70" s="275">
        <f>'Fixed Curtain Officr Copy'!B65</f>
        <v>0</v>
      </c>
      <c r="C70" s="275">
        <f>'Fixed Curtain Officr Copy'!C65</f>
        <v>0</v>
      </c>
      <c r="D70" s="275">
        <f>'Fixed Curtain Officr Copy'!D65</f>
        <v>0</v>
      </c>
      <c r="E70" s="122" t="s">
        <v>19</v>
      </c>
      <c r="F70" s="119" t="e">
        <f ca="1">'Fixed Curtain Officr Copy'!I65</f>
        <v>#NAME?</v>
      </c>
      <c r="G70" s="341" t="e">
        <f ca="1">'Fixed Curtain Officr Copy'!K65</f>
        <v>#NAME?</v>
      </c>
    </row>
    <row r="71" spans="1:7">
      <c r="A71" s="153" t="s">
        <v>15</v>
      </c>
      <c r="B71" s="275">
        <f>'Fixed Curtain Officr Copy'!B66</f>
        <v>0</v>
      </c>
      <c r="C71" s="275">
        <f>'Fixed Curtain Officr Copy'!C66</f>
        <v>0</v>
      </c>
      <c r="D71" s="275">
        <f>'Fixed Curtain Officr Copy'!D66</f>
        <v>0</v>
      </c>
      <c r="E71" s="122" t="s">
        <v>19</v>
      </c>
      <c r="F71" s="119" t="e">
        <f ca="1">'Fixed Curtain Officr Copy'!I66</f>
        <v>#NAME?</v>
      </c>
      <c r="G71" s="341" t="e">
        <f ca="1">'Fixed Curtain Officr Copy'!K66</f>
        <v>#NAME?</v>
      </c>
    </row>
    <row r="72" spans="1:7" ht="20.25">
      <c r="A72" s="342" t="s">
        <v>35</v>
      </c>
      <c r="B72" s="274">
        <f>'Fixed Curtain Officr Copy'!B67</f>
        <v>0</v>
      </c>
      <c r="C72" s="274">
        <f>'Fixed Curtain Officr Copy'!C67</f>
        <v>0</v>
      </c>
      <c r="D72" s="274" t="str">
        <f>'Fixed Curtain Officr Copy'!D67</f>
        <v>~</v>
      </c>
      <c r="E72" s="271" t="s">
        <v>22</v>
      </c>
      <c r="F72" s="272" t="str">
        <f>'Fixed Curtain Officr Copy'!I67</f>
        <v>~</v>
      </c>
      <c r="G72" s="343" t="str">
        <f>'Fixed Curtain Officr Copy'!K67</f>
        <v>~</v>
      </c>
    </row>
    <row r="73" spans="1:7">
      <c r="A73" s="153" t="s">
        <v>90</v>
      </c>
      <c r="B73" s="268">
        <f>'Fixed Curtain Officr Copy'!B68</f>
        <v>0</v>
      </c>
      <c r="C73" s="268" t="str">
        <f>'Fixed Curtain Officr Copy'!C68</f>
        <v>N/A</v>
      </c>
      <c r="D73" s="268">
        <f>'Fixed Curtain Officr Copy'!D68</f>
        <v>0</v>
      </c>
      <c r="E73" s="122" t="s">
        <v>42</v>
      </c>
      <c r="F73" s="119">
        <f>'Fixed Curtain Officr Copy'!I68</f>
        <v>0</v>
      </c>
      <c r="G73" s="341">
        <f>'Fixed Curtain Officr Copy'!K68</f>
        <v>0</v>
      </c>
    </row>
    <row r="74" spans="1:7">
      <c r="A74" s="153" t="s">
        <v>16</v>
      </c>
      <c r="B74" s="268" t="str">
        <f>'Fixed Curtain Officr Copy'!B69</f>
        <v>None</v>
      </c>
      <c r="C74" s="268" t="str">
        <f>'Fixed Curtain Officr Copy'!C69</f>
        <v>None</v>
      </c>
      <c r="D74" s="268">
        <f>'Fixed Curtain Officr Copy'!D69</f>
        <v>0</v>
      </c>
      <c r="E74" s="117" t="s">
        <v>20</v>
      </c>
      <c r="F74" s="119">
        <f>'Fixed Curtain Officr Copy'!I69</f>
        <v>0</v>
      </c>
      <c r="G74" s="341">
        <f>'Fixed Curtain Officr Copy'!K69</f>
        <v>0</v>
      </c>
    </row>
    <row r="75" spans="1:7">
      <c r="A75" s="153" t="s">
        <v>17</v>
      </c>
      <c r="B75" s="268" t="str">
        <f>'Fixed Curtain Officr Copy'!B70</f>
        <v>None</v>
      </c>
      <c r="C75" s="268" t="str">
        <f>'Fixed Curtain Officr Copy'!C70</f>
        <v>N/A</v>
      </c>
      <c r="D75" s="268">
        <f>'Fixed Curtain Officr Copy'!D70</f>
        <v>0</v>
      </c>
      <c r="E75" s="117" t="s">
        <v>20</v>
      </c>
      <c r="F75" s="119">
        <f>'Fixed Curtain Officr Copy'!I70</f>
        <v>0</v>
      </c>
      <c r="G75" s="341">
        <f>'Fixed Curtain Officr Copy'!K70</f>
        <v>0</v>
      </c>
    </row>
    <row r="76" spans="1:7">
      <c r="A76" s="153" t="s">
        <v>18</v>
      </c>
      <c r="B76" s="268" t="str">
        <f>'Fixed Curtain Officr Copy'!B71</f>
        <v>None</v>
      </c>
      <c r="C76" s="268" t="str">
        <f>'Fixed Curtain Officr Copy'!C71</f>
        <v>None</v>
      </c>
      <c r="D76" s="268">
        <f>'Fixed Curtain Officr Copy'!D71</f>
        <v>0</v>
      </c>
      <c r="E76" s="117" t="s">
        <v>20</v>
      </c>
      <c r="F76" s="119">
        <f>'Fixed Curtain Officr Copy'!I71</f>
        <v>0</v>
      </c>
      <c r="G76" s="341">
        <f>'Fixed Curtain Officr Copy'!K71</f>
        <v>0</v>
      </c>
    </row>
    <row r="77" spans="1:7">
      <c r="A77" s="153" t="s">
        <v>227</v>
      </c>
      <c r="B77" s="268">
        <f>'Fixed Curtain Officr Copy'!B72</f>
        <v>0</v>
      </c>
      <c r="C77" s="268" t="str">
        <f>'Fixed Curtain Officr Copy'!C72</f>
        <v>N/A</v>
      </c>
      <c r="D77" s="268">
        <f>'Fixed Curtain Officr Copy'!D72</f>
        <v>0</v>
      </c>
      <c r="E77" s="117" t="s">
        <v>21</v>
      </c>
      <c r="F77" s="119">
        <f>'Fixed Curtain Officr Copy'!I72</f>
        <v>0</v>
      </c>
      <c r="G77" s="341">
        <f>'Fixed Curtain Officr Copy'!K72</f>
        <v>0</v>
      </c>
    </row>
    <row r="78" spans="1:7">
      <c r="A78" s="153" t="s">
        <v>156</v>
      </c>
      <c r="B78" s="268" t="str">
        <f>'Fixed Curtain Officr Copy'!B73</f>
        <v>No</v>
      </c>
      <c r="C78" s="268" t="str">
        <f>'Fixed Curtain Officr Copy'!C73</f>
        <v>N/A</v>
      </c>
      <c r="D78" s="268">
        <f>'Fixed Curtain Officr Copy'!D73</f>
        <v>0</v>
      </c>
      <c r="E78" s="117" t="s">
        <v>21</v>
      </c>
      <c r="F78" s="119">
        <f>'Fixed Curtain Officr Copy'!I73</f>
        <v>0</v>
      </c>
      <c r="G78" s="341">
        <f>'Fixed Curtain Officr Copy'!K73</f>
        <v>0</v>
      </c>
    </row>
    <row r="79" spans="1:7">
      <c r="A79" s="153" t="s">
        <v>43</v>
      </c>
      <c r="B79" s="268" t="str">
        <f>'Fixed Curtain Officr Copy'!B74</f>
        <v>None</v>
      </c>
      <c r="C79" s="268" t="str">
        <f>'Fixed Curtain Officr Copy'!C74</f>
        <v>None</v>
      </c>
      <c r="D79" s="268">
        <f>'Fixed Curtain Officr Copy'!D74</f>
        <v>0</v>
      </c>
      <c r="E79" s="117" t="s">
        <v>20</v>
      </c>
      <c r="F79" s="119">
        <f>'Fixed Curtain Officr Copy'!I74</f>
        <v>0</v>
      </c>
      <c r="G79" s="341">
        <f>'Fixed Curtain Officr Copy'!K74</f>
        <v>0</v>
      </c>
    </row>
    <row r="80" spans="1:7">
      <c r="A80" s="153" t="s">
        <v>216</v>
      </c>
      <c r="B80" s="268" t="str">
        <f>'Fixed Curtain Officr Copy'!B75</f>
        <v>No</v>
      </c>
      <c r="C80" s="268" t="str">
        <f>'Fixed Curtain Officr Copy'!C75</f>
        <v>N/A</v>
      </c>
      <c r="D80" s="268">
        <f>'Fixed Curtain Officr Copy'!D75</f>
        <v>0</v>
      </c>
      <c r="E80" s="117" t="s">
        <v>20</v>
      </c>
      <c r="F80" s="119">
        <f>'Fixed Curtain Officr Copy'!I75</f>
        <v>0</v>
      </c>
      <c r="G80" s="341">
        <f>'Fixed Curtain Officr Copy'!K75</f>
        <v>0</v>
      </c>
    </row>
    <row r="81" spans="1:7">
      <c r="A81" s="153" t="s">
        <v>217</v>
      </c>
      <c r="B81" s="268" t="str">
        <f>'Fixed Curtain Officr Copy'!B76</f>
        <v>No</v>
      </c>
      <c r="C81" s="268" t="str">
        <f>'Fixed Curtain Officr Copy'!C76</f>
        <v>N/A</v>
      </c>
      <c r="D81" s="268">
        <f>'Fixed Curtain Officr Copy'!D76</f>
        <v>0</v>
      </c>
      <c r="E81" s="117" t="s">
        <v>20</v>
      </c>
      <c r="F81" s="119">
        <f>'Fixed Curtain Officr Copy'!I76</f>
        <v>0</v>
      </c>
      <c r="G81" s="341">
        <f>'Fixed Curtain Officr Copy'!K76</f>
        <v>0</v>
      </c>
    </row>
    <row r="82" spans="1:7">
      <c r="A82" s="153" t="s">
        <v>218</v>
      </c>
      <c r="B82" s="268">
        <f>'Fixed Curtain Officr Copy'!B77</f>
        <v>0</v>
      </c>
      <c r="C82" s="268" t="str">
        <f>'Fixed Curtain Officr Copy'!C77</f>
        <v>N/A</v>
      </c>
      <c r="D82" s="268">
        <f>'Fixed Curtain Officr Copy'!D77</f>
        <v>0</v>
      </c>
      <c r="E82" s="117" t="s">
        <v>20</v>
      </c>
      <c r="F82" s="119">
        <f>'Fixed Curtain Officr Copy'!I77</f>
        <v>0</v>
      </c>
      <c r="G82" s="341">
        <f>'Fixed Curtain Officr Copy'!K77</f>
        <v>0</v>
      </c>
    </row>
    <row r="83" spans="1:7" ht="15" thickBot="1">
      <c r="A83" s="153" t="s">
        <v>93</v>
      </c>
      <c r="B83" s="268" t="str">
        <f>'Fixed Curtain Officr Copy'!B78</f>
        <v>N/A</v>
      </c>
      <c r="C83" s="268" t="str">
        <f>'Fixed Curtain Officr Copy'!C78</f>
        <v>N/A</v>
      </c>
      <c r="D83" s="268" t="str">
        <f>'Fixed Curtain Officr Copy'!D78</f>
        <v>N/A</v>
      </c>
      <c r="E83" s="117" t="s">
        <v>21</v>
      </c>
      <c r="F83" s="119">
        <f>'Fixed Curtain Officr Copy'!I78</f>
        <v>0</v>
      </c>
      <c r="G83" s="341">
        <f>'Fixed Curtain Officr Copy'!K78</f>
        <v>0</v>
      </c>
    </row>
    <row r="84" spans="1:7" ht="18.75" thickBot="1">
      <c r="A84" s="370"/>
      <c r="B84" s="372"/>
      <c r="C84" s="338" t="s">
        <v>186</v>
      </c>
      <c r="D84" s="339">
        <f>'Fixed Curtain Officr Copy'!D79</f>
        <v>0</v>
      </c>
      <c r="E84" s="338" t="s">
        <v>228</v>
      </c>
      <c r="F84" s="351" t="e">
        <f ca="1">SUM(F70:F71,F73:F83)</f>
        <v>#NAME?</v>
      </c>
      <c r="G84" s="352" t="e">
        <f ca="1">'Fixed Curtain Officr Copy'!B79</f>
        <v>#NAME?</v>
      </c>
    </row>
    <row r="85" spans="1:7">
      <c r="C85" s="133"/>
      <c r="D85" s="133"/>
      <c r="E85" s="132"/>
      <c r="F85" s="133"/>
      <c r="G85" s="133"/>
    </row>
    <row r="86" spans="1:7">
      <c r="C86" s="133"/>
      <c r="D86" s="133"/>
      <c r="E86" s="132"/>
      <c r="F86" s="133"/>
      <c r="G86" s="133"/>
    </row>
    <row r="87" spans="1:7">
      <c r="C87" s="133"/>
      <c r="D87" s="133"/>
      <c r="E87" s="132"/>
      <c r="F87" s="133"/>
      <c r="G87" s="133"/>
    </row>
    <row r="88" spans="1:7">
      <c r="C88" s="133"/>
      <c r="D88" s="133"/>
      <c r="E88" s="132"/>
      <c r="F88" s="133"/>
      <c r="G88" s="133"/>
    </row>
    <row r="89" spans="1:7">
      <c r="C89" s="133"/>
      <c r="D89" s="133"/>
      <c r="E89" s="132"/>
      <c r="F89" s="133"/>
      <c r="G89" s="133"/>
    </row>
    <row r="90" spans="1:7" ht="15" thickBot="1">
      <c r="A90" s="133"/>
      <c r="B90" s="133"/>
      <c r="C90" s="133"/>
      <c r="D90" s="133"/>
      <c r="E90" s="133"/>
      <c r="F90" s="133"/>
      <c r="G90" s="133"/>
    </row>
    <row r="91" spans="1:7" ht="21" thickBot="1">
      <c r="A91" s="20" t="s">
        <v>62</v>
      </c>
      <c r="B91" s="132"/>
      <c r="C91" s="340" t="str">
        <f>'Fixed Curtain Officr Copy'!B83</f>
        <v>MATERIAL</v>
      </c>
      <c r="D91" s="132"/>
      <c r="E91" s="132"/>
      <c r="F91" s="132"/>
      <c r="G91" s="132"/>
    </row>
    <row r="92" spans="1:7" ht="20.25">
      <c r="A92" s="290" t="s">
        <v>34</v>
      </c>
      <c r="B92" s="265" t="s">
        <v>0</v>
      </c>
      <c r="C92" s="265" t="s">
        <v>1</v>
      </c>
      <c r="D92" s="273" t="s">
        <v>2</v>
      </c>
      <c r="E92" s="265" t="s">
        <v>200</v>
      </c>
      <c r="F92" s="265" t="s">
        <v>53</v>
      </c>
      <c r="G92" s="280" t="s">
        <v>130</v>
      </c>
    </row>
    <row r="93" spans="1:7">
      <c r="A93" s="153" t="s">
        <v>86</v>
      </c>
      <c r="B93" s="275">
        <f>'Fixed Curtain Officr Copy'!B85</f>
        <v>0</v>
      </c>
      <c r="C93" s="275">
        <f>'Fixed Curtain Officr Copy'!C85</f>
        <v>0</v>
      </c>
      <c r="D93" s="275">
        <f>'Fixed Curtain Officr Copy'!D85</f>
        <v>0</v>
      </c>
      <c r="E93" s="122" t="s">
        <v>19</v>
      </c>
      <c r="F93" s="119" t="e">
        <f ca="1">'Fixed Curtain Officr Copy'!I85</f>
        <v>#NAME?</v>
      </c>
      <c r="G93" s="341" t="e">
        <f ca="1">'Fixed Curtain Officr Copy'!K85</f>
        <v>#NAME?</v>
      </c>
    </row>
    <row r="94" spans="1:7">
      <c r="A94" s="153" t="s">
        <v>65</v>
      </c>
      <c r="B94" s="275">
        <f>'Fixed Curtain Officr Copy'!B86</f>
        <v>0</v>
      </c>
      <c r="C94" s="275">
        <f>'Fixed Curtain Officr Copy'!C86</f>
        <v>0</v>
      </c>
      <c r="D94" s="275">
        <f>'Fixed Curtain Officr Copy'!D86</f>
        <v>0</v>
      </c>
      <c r="E94" s="122" t="s">
        <v>19</v>
      </c>
      <c r="F94" s="119" t="e">
        <f ca="1">'Fixed Curtain Officr Copy'!I86</f>
        <v>#NAME?</v>
      </c>
      <c r="G94" s="341" t="e">
        <f ca="1">'Fixed Curtain Officr Copy'!K86</f>
        <v>#NAME?</v>
      </c>
    </row>
    <row r="95" spans="1:7" ht="20.25">
      <c r="A95" s="342" t="s">
        <v>35</v>
      </c>
      <c r="B95" s="274" t="str">
        <f>'Fixed Curtain Officr Copy'!B87</f>
        <v>~</v>
      </c>
      <c r="C95" s="274" t="str">
        <f>'Fixed Curtain Officr Copy'!C87</f>
        <v>~</v>
      </c>
      <c r="D95" s="274" t="str">
        <f>'Fixed Curtain Officr Copy'!D87</f>
        <v>~</v>
      </c>
      <c r="E95" s="271" t="s">
        <v>22</v>
      </c>
      <c r="F95" s="272" t="str">
        <f>'Fixed Curtain Officr Copy'!I87</f>
        <v>~</v>
      </c>
      <c r="G95" s="343" t="str">
        <f>'Fixed Curtain Officr Copy'!K87</f>
        <v>~</v>
      </c>
    </row>
    <row r="96" spans="1:7">
      <c r="A96" s="153" t="s">
        <v>90</v>
      </c>
      <c r="B96" s="268">
        <f>'Fixed Curtain Officr Copy'!B88</f>
        <v>0</v>
      </c>
      <c r="C96" s="268" t="str">
        <f>'Fixed Curtain Officr Copy'!C88</f>
        <v>N/A</v>
      </c>
      <c r="D96" s="268">
        <f>'Fixed Curtain Officr Copy'!D88</f>
        <v>0</v>
      </c>
      <c r="E96" s="122" t="s">
        <v>42</v>
      </c>
      <c r="F96" s="119">
        <f>'Fixed Curtain Officr Copy'!I88</f>
        <v>0</v>
      </c>
      <c r="G96" s="341">
        <f>'Fixed Curtain Officr Copy'!K88</f>
        <v>0</v>
      </c>
    </row>
    <row r="97" spans="1:7">
      <c r="A97" s="153" t="s">
        <v>16</v>
      </c>
      <c r="B97" s="268" t="str">
        <f>'Fixed Curtain Officr Copy'!B89</f>
        <v>None</v>
      </c>
      <c r="C97" s="268" t="str">
        <f>'Fixed Curtain Officr Copy'!C89</f>
        <v>None</v>
      </c>
      <c r="D97" s="268">
        <f>'Fixed Curtain Officr Copy'!D89</f>
        <v>0</v>
      </c>
      <c r="E97" s="117" t="s">
        <v>20</v>
      </c>
      <c r="F97" s="119">
        <f>'Fixed Curtain Officr Copy'!I89</f>
        <v>0</v>
      </c>
      <c r="G97" s="341">
        <f>'Fixed Curtain Officr Copy'!K89</f>
        <v>0</v>
      </c>
    </row>
    <row r="98" spans="1:7">
      <c r="A98" s="153" t="s">
        <v>17</v>
      </c>
      <c r="B98" s="268" t="str">
        <f>'Fixed Curtain Officr Copy'!B90</f>
        <v>None</v>
      </c>
      <c r="C98" s="268" t="str">
        <f>'Fixed Curtain Officr Copy'!C90</f>
        <v>N/A</v>
      </c>
      <c r="D98" s="268">
        <f>'Fixed Curtain Officr Copy'!D90</f>
        <v>0</v>
      </c>
      <c r="E98" s="117" t="s">
        <v>20</v>
      </c>
      <c r="F98" s="119">
        <f>'Fixed Curtain Officr Copy'!I90</f>
        <v>0</v>
      </c>
      <c r="G98" s="341">
        <f>'Fixed Curtain Officr Copy'!K90</f>
        <v>0</v>
      </c>
    </row>
    <row r="99" spans="1:7">
      <c r="A99" s="153" t="s">
        <v>18</v>
      </c>
      <c r="B99" s="268" t="str">
        <f>'Fixed Curtain Officr Copy'!B91</f>
        <v>None</v>
      </c>
      <c r="C99" s="268" t="str">
        <f>'Fixed Curtain Officr Copy'!C91</f>
        <v>None</v>
      </c>
      <c r="D99" s="268">
        <f>'Fixed Curtain Officr Copy'!D91</f>
        <v>0</v>
      </c>
      <c r="E99" s="117" t="s">
        <v>20</v>
      </c>
      <c r="F99" s="119">
        <f>'Fixed Curtain Officr Copy'!I91</f>
        <v>0</v>
      </c>
      <c r="G99" s="341">
        <f>'Fixed Curtain Officr Copy'!K91</f>
        <v>0</v>
      </c>
    </row>
    <row r="100" spans="1:7">
      <c r="A100" s="153" t="s">
        <v>227</v>
      </c>
      <c r="B100" s="268">
        <f>'Fixed Curtain Officr Copy'!B92</f>
        <v>0</v>
      </c>
      <c r="C100" s="268" t="str">
        <f>'Fixed Curtain Officr Copy'!C92</f>
        <v>N/A</v>
      </c>
      <c r="D100" s="268">
        <f>'Fixed Curtain Officr Copy'!D92</f>
        <v>0</v>
      </c>
      <c r="E100" s="117" t="s">
        <v>21</v>
      </c>
      <c r="F100" s="119">
        <f>'Fixed Curtain Officr Copy'!I92</f>
        <v>0</v>
      </c>
      <c r="G100" s="341">
        <f>'Fixed Curtain Officr Copy'!K92</f>
        <v>0</v>
      </c>
    </row>
    <row r="101" spans="1:7">
      <c r="A101" s="153" t="s">
        <v>156</v>
      </c>
      <c r="B101" s="268" t="str">
        <f>'Fixed Curtain Officr Copy'!B93</f>
        <v>No</v>
      </c>
      <c r="C101" s="268" t="str">
        <f>'Fixed Curtain Officr Copy'!C93</f>
        <v>N/A</v>
      </c>
      <c r="D101" s="268">
        <f>'Fixed Curtain Officr Copy'!D93</f>
        <v>0</v>
      </c>
      <c r="E101" s="117" t="s">
        <v>21</v>
      </c>
      <c r="F101" s="119">
        <f>'Fixed Curtain Officr Copy'!I93</f>
        <v>0</v>
      </c>
      <c r="G101" s="341">
        <f>'Fixed Curtain Officr Copy'!K93</f>
        <v>0</v>
      </c>
    </row>
    <row r="102" spans="1:7">
      <c r="A102" s="153" t="s">
        <v>43</v>
      </c>
      <c r="B102" s="268" t="str">
        <f>'Fixed Curtain Officr Copy'!B94</f>
        <v>None</v>
      </c>
      <c r="C102" s="268" t="str">
        <f>'Fixed Curtain Officr Copy'!C94</f>
        <v>None</v>
      </c>
      <c r="D102" s="268">
        <f>'Fixed Curtain Officr Copy'!D94</f>
        <v>0</v>
      </c>
      <c r="E102" s="117" t="s">
        <v>20</v>
      </c>
      <c r="F102" s="119">
        <f>'Fixed Curtain Officr Copy'!I94</f>
        <v>0</v>
      </c>
      <c r="G102" s="341">
        <f>'Fixed Curtain Officr Copy'!K94</f>
        <v>0</v>
      </c>
    </row>
    <row r="103" spans="1:7">
      <c r="A103" s="153" t="s">
        <v>216</v>
      </c>
      <c r="B103" s="268" t="str">
        <f>'Fixed Curtain Officr Copy'!B95</f>
        <v>No</v>
      </c>
      <c r="C103" s="268" t="str">
        <f>'Fixed Curtain Officr Copy'!C95</f>
        <v>N/A</v>
      </c>
      <c r="D103" s="268">
        <f>'Fixed Curtain Officr Copy'!D95</f>
        <v>0</v>
      </c>
      <c r="E103" s="117" t="s">
        <v>20</v>
      </c>
      <c r="F103" s="119">
        <f>'Fixed Curtain Officr Copy'!I95</f>
        <v>0</v>
      </c>
      <c r="G103" s="341">
        <f>'Fixed Curtain Officr Copy'!K95</f>
        <v>0</v>
      </c>
    </row>
    <row r="104" spans="1:7">
      <c r="A104" s="153" t="s">
        <v>217</v>
      </c>
      <c r="B104" s="268" t="str">
        <f>'Fixed Curtain Officr Copy'!B96</f>
        <v>No</v>
      </c>
      <c r="C104" s="268" t="str">
        <f>'Fixed Curtain Officr Copy'!C96</f>
        <v>N/A</v>
      </c>
      <c r="D104" s="268">
        <f>'Fixed Curtain Officr Copy'!D96</f>
        <v>0</v>
      </c>
      <c r="E104" s="117" t="s">
        <v>20</v>
      </c>
      <c r="F104" s="119">
        <f>'Fixed Curtain Officr Copy'!I96</f>
        <v>0</v>
      </c>
      <c r="G104" s="341">
        <f>'Fixed Curtain Officr Copy'!K96</f>
        <v>0</v>
      </c>
    </row>
    <row r="105" spans="1:7">
      <c r="A105" s="153" t="s">
        <v>218</v>
      </c>
      <c r="B105" s="268">
        <f>'Fixed Curtain Officr Copy'!B97</f>
        <v>0</v>
      </c>
      <c r="C105" s="268" t="str">
        <f>'Fixed Curtain Officr Copy'!C97</f>
        <v>N/A</v>
      </c>
      <c r="D105" s="268">
        <f>'Fixed Curtain Officr Copy'!D97</f>
        <v>0</v>
      </c>
      <c r="E105" s="117" t="s">
        <v>20</v>
      </c>
      <c r="F105" s="119">
        <f>'Fixed Curtain Officr Copy'!I97</f>
        <v>0</v>
      </c>
      <c r="G105" s="341">
        <f>'Fixed Curtain Officr Copy'!K97</f>
        <v>0</v>
      </c>
    </row>
    <row r="106" spans="1:7" ht="15" thickBot="1">
      <c r="A106" s="153" t="s">
        <v>93</v>
      </c>
      <c r="B106" s="268" t="str">
        <f>'Fixed Curtain Officr Copy'!B98</f>
        <v>N/A</v>
      </c>
      <c r="C106" s="268" t="str">
        <f>'Fixed Curtain Officr Copy'!C98</f>
        <v>N/A</v>
      </c>
      <c r="D106" s="268" t="str">
        <f>'Fixed Curtain Officr Copy'!D98</f>
        <v>N/A</v>
      </c>
      <c r="E106" s="117" t="s">
        <v>21</v>
      </c>
      <c r="F106" s="119">
        <f>'Fixed Curtain Officr Copy'!I98</f>
        <v>0</v>
      </c>
      <c r="G106" s="341">
        <f>'Fixed Curtain Officr Copy'!K98</f>
        <v>0</v>
      </c>
    </row>
    <row r="107" spans="1:7" ht="19.5" customHeight="1" thickBot="1">
      <c r="A107" s="370"/>
      <c r="B107" s="372"/>
      <c r="C107" s="338" t="s">
        <v>186</v>
      </c>
      <c r="D107" s="339">
        <f>'Fixed Curtain Officr Copy'!D99</f>
        <v>0</v>
      </c>
      <c r="E107" s="338" t="s">
        <v>228</v>
      </c>
      <c r="F107" s="351" t="e">
        <f ca="1">SUM(F93:F94,F96:F106)</f>
        <v>#NAME?</v>
      </c>
      <c r="G107" s="352" t="e">
        <f ca="1">'Fixed Curtain Officr Copy'!B99</f>
        <v>#NAME?</v>
      </c>
    </row>
    <row r="109" spans="1:7" ht="15" thickBot="1"/>
    <row r="110" spans="1:7" ht="20.25">
      <c r="A110" s="290" t="s">
        <v>40</v>
      </c>
      <c r="B110" s="265" t="s">
        <v>23</v>
      </c>
      <c r="C110" s="273" t="s">
        <v>2</v>
      </c>
      <c r="D110" s="265" t="s">
        <v>200</v>
      </c>
      <c r="E110" s="265" t="s">
        <v>6</v>
      </c>
      <c r="F110" s="280" t="s">
        <v>130</v>
      </c>
    </row>
    <row r="111" spans="1:7">
      <c r="A111" s="153" t="s">
        <v>99</v>
      </c>
      <c r="B111" s="122">
        <f>'Fixed Curtain Officr Copy'!P5</f>
        <v>1</v>
      </c>
      <c r="C111" s="122">
        <f>'Fixed Curtain Officr Copy'!R5</f>
        <v>0</v>
      </c>
      <c r="D111" s="117" t="s">
        <v>28</v>
      </c>
      <c r="E111" s="120">
        <f>'Fixed Curtain Officr Copy'!W5</f>
        <v>0</v>
      </c>
      <c r="F111" s="349">
        <f>'Fixed Curtain Officr Copy'!Y5</f>
        <v>0</v>
      </c>
    </row>
    <row r="112" spans="1:7">
      <c r="A112" s="153" t="s">
        <v>98</v>
      </c>
      <c r="B112" s="122">
        <f>'Fixed Curtain Officr Copy'!P6</f>
        <v>0</v>
      </c>
      <c r="C112" s="122">
        <f>'Fixed Curtain Officr Copy'!R6</f>
        <v>0</v>
      </c>
      <c r="D112" s="117" t="s">
        <v>28</v>
      </c>
      <c r="E112" s="120">
        <f>'Fixed Curtain Officr Copy'!W6</f>
        <v>0</v>
      </c>
      <c r="F112" s="349">
        <f>'Fixed Curtain Officr Copy'!Y6</f>
        <v>0</v>
      </c>
    </row>
    <row r="113" spans="1:6">
      <c r="A113" s="153" t="s">
        <v>142</v>
      </c>
      <c r="B113" s="122" t="str">
        <f>'Fixed Curtain Officr Copy'!P7</f>
        <v>N/A</v>
      </c>
      <c r="C113" s="122">
        <f>'Fixed Curtain Officr Copy'!R7</f>
        <v>0</v>
      </c>
      <c r="D113" s="117" t="s">
        <v>29</v>
      </c>
      <c r="E113" s="120">
        <f>'Fixed Curtain Officr Copy'!W7</f>
        <v>0</v>
      </c>
      <c r="F113" s="349">
        <f>'Fixed Curtain Officr Copy'!Y7</f>
        <v>0</v>
      </c>
    </row>
    <row r="114" spans="1:6">
      <c r="A114" s="153" t="s">
        <v>25</v>
      </c>
      <c r="B114" s="122" t="str">
        <f>'Fixed Curtain Officr Copy'!P8</f>
        <v>N/A</v>
      </c>
      <c r="C114" s="122">
        <f>'Fixed Curtain Officr Copy'!R8</f>
        <v>0</v>
      </c>
      <c r="D114" s="117" t="s">
        <v>30</v>
      </c>
      <c r="E114" s="120">
        <f>'Fixed Curtain Officr Copy'!W8</f>
        <v>0</v>
      </c>
      <c r="F114" s="349">
        <f>'Fixed Curtain Officr Copy'!Y8</f>
        <v>0</v>
      </c>
    </row>
    <row r="115" spans="1:6">
      <c r="A115" s="153" t="s">
        <v>143</v>
      </c>
      <c r="B115" s="122" t="s">
        <v>89</v>
      </c>
      <c r="C115" s="122">
        <f>'Fixed Curtain Officr Copy'!R9</f>
        <v>0</v>
      </c>
      <c r="D115" s="117" t="s">
        <v>21</v>
      </c>
      <c r="E115" s="120">
        <f>'Fixed Curtain Officr Copy'!W9</f>
        <v>0</v>
      </c>
      <c r="F115" s="349">
        <f>'Fixed Curtain Officr Copy'!Y9</f>
        <v>0</v>
      </c>
    </row>
    <row r="116" spans="1:6">
      <c r="A116" s="153" t="s">
        <v>144</v>
      </c>
      <c r="B116" s="122" t="s">
        <v>89</v>
      </c>
      <c r="C116" s="122">
        <f>'Fixed Curtain Officr Copy'!R10</f>
        <v>0</v>
      </c>
      <c r="D116" s="117" t="s">
        <v>21</v>
      </c>
      <c r="E116" s="120">
        <f>'Fixed Curtain Officr Copy'!W10</f>
        <v>0</v>
      </c>
      <c r="F116" s="349">
        <f>'Fixed Curtain Officr Copy'!Y10</f>
        <v>0</v>
      </c>
    </row>
    <row r="117" spans="1:6">
      <c r="A117" s="153" t="s">
        <v>26</v>
      </c>
      <c r="B117" s="122" t="str">
        <f>'Fixed Curtain Officr Copy'!P11</f>
        <v>N/A</v>
      </c>
      <c r="C117" s="122" t="str">
        <f>'Fixed Curtain Officr Copy'!R11</f>
        <v>N/A</v>
      </c>
      <c r="D117" s="122" t="s">
        <v>21</v>
      </c>
      <c r="E117" s="120">
        <f>'Fixed Curtain Officr Copy'!W11</f>
        <v>0</v>
      </c>
      <c r="F117" s="349">
        <f>'Fixed Curtain Officr Copy'!Y11</f>
        <v>0</v>
      </c>
    </row>
    <row r="118" spans="1:6">
      <c r="A118" s="153" t="s">
        <v>27</v>
      </c>
      <c r="B118" s="122" t="str">
        <f>'Fixed Curtain Officr Copy'!P12</f>
        <v>N/A</v>
      </c>
      <c r="C118" s="122" t="str">
        <f>'Fixed Curtain Officr Copy'!R12</f>
        <v>N/A</v>
      </c>
      <c r="D118" s="122" t="s">
        <v>21</v>
      </c>
      <c r="E118" s="120">
        <f>'Fixed Curtain Officr Copy'!W12</f>
        <v>0</v>
      </c>
      <c r="F118" s="349">
        <f>'Fixed Curtain Officr Copy'!Y12</f>
        <v>0</v>
      </c>
    </row>
    <row r="119" spans="1:6" ht="15" thickBot="1">
      <c r="A119" s="95" t="s">
        <v>102</v>
      </c>
      <c r="B119" s="99" t="str">
        <f>'Fixed Curtain Officr Copy'!P13</f>
        <v>N/A</v>
      </c>
      <c r="C119" s="99" t="str">
        <f>'Fixed Curtain Officr Copy'!R13</f>
        <v>N/A</v>
      </c>
      <c r="D119" s="99" t="s">
        <v>21</v>
      </c>
      <c r="E119" s="103">
        <f>'Fixed Curtain Officr Copy'!W13</f>
        <v>0</v>
      </c>
      <c r="F119" s="350">
        <f>'Fixed Curtain Officr Copy'!Y13</f>
        <v>0</v>
      </c>
    </row>
    <row r="120" spans="1:6" ht="18.75" thickBot="1">
      <c r="A120" s="370"/>
      <c r="B120" s="371"/>
      <c r="C120" s="371"/>
      <c r="D120" s="338" t="s">
        <v>228</v>
      </c>
      <c r="E120" s="353">
        <f>'Fixed Curtain Officr Copy'!U23</f>
        <v>0</v>
      </c>
      <c r="F120" s="354">
        <f>'Fixed Curtain Officr Copy'!P14</f>
        <v>0</v>
      </c>
    </row>
    <row r="122" spans="1:6" ht="20.25">
      <c r="A122" s="266" t="s">
        <v>37</v>
      </c>
      <c r="B122" s="313"/>
      <c r="C122" s="266" t="s">
        <v>66</v>
      </c>
      <c r="D122" s="313"/>
    </row>
    <row r="123" spans="1:6" ht="15.75">
      <c r="A123" s="312" t="s">
        <v>31</v>
      </c>
      <c r="B123" s="291">
        <f>'Fixed Curtain Officr Copy'!P18</f>
        <v>0</v>
      </c>
      <c r="C123" s="292" t="s">
        <v>66</v>
      </c>
      <c r="D123" s="23" t="str">
        <f>IF('Fixed Curtain Officr Copy'!R18="","",'Fixed Curtain Officr Copy'!R18)</f>
        <v/>
      </c>
    </row>
    <row r="124" spans="1:6" ht="15.75">
      <c r="A124" s="292" t="s">
        <v>55</v>
      </c>
      <c r="B124" s="268">
        <f>'Fixed Curtain Officr Copy'!P19</f>
        <v>0</v>
      </c>
      <c r="C124" s="292" t="s">
        <v>173</v>
      </c>
      <c r="D124" s="314">
        <f>'Fixed Curtain Officr Copy'!R19</f>
        <v>0</v>
      </c>
    </row>
    <row r="125" spans="1:6" ht="15.75">
      <c r="A125" s="292" t="s">
        <v>32</v>
      </c>
      <c r="B125" s="268">
        <f>'Fixed Curtain Officr Copy'!P20</f>
        <v>0</v>
      </c>
      <c r="C125" s="132"/>
      <c r="D125" s="132"/>
    </row>
    <row r="126" spans="1:6" ht="15.75">
      <c r="A126" s="292" t="s">
        <v>54</v>
      </c>
      <c r="B126" s="268">
        <f>'Fixed Curtain Officr Copy'!P21</f>
        <v>0</v>
      </c>
      <c r="C126" s="132"/>
      <c r="D126" s="132"/>
    </row>
    <row r="127" spans="1:6" ht="15.75">
      <c r="A127" s="292" t="s">
        <v>33</v>
      </c>
      <c r="B127" s="268">
        <f>'Fixed Curtain Officr Copy'!P22</f>
        <v>0</v>
      </c>
      <c r="C127" s="132"/>
      <c r="D127" s="132"/>
    </row>
    <row r="128" spans="1:6" ht="15.75">
      <c r="A128" s="292" t="s">
        <v>60</v>
      </c>
      <c r="B128" s="301" t="str">
        <f>IF('Fixed Curtain Officr Copy'!P23="","",'Fixed Curtain Officr Copy'!P23)</f>
        <v/>
      </c>
      <c r="C128" s="132"/>
      <c r="D128" s="132"/>
    </row>
    <row r="129" spans="1:8" ht="18">
      <c r="A129" s="270" t="s">
        <v>179</v>
      </c>
      <c r="B129" s="293"/>
      <c r="C129" s="270" t="s">
        <v>180</v>
      </c>
      <c r="D129" s="315"/>
    </row>
    <row r="130" spans="1:8" ht="15.75">
      <c r="A130" s="292" t="s">
        <v>170</v>
      </c>
      <c r="B130" s="120" t="e">
        <f ca="1">'Fixed Curtain Officr Copy'!P25</f>
        <v>#NAME?</v>
      </c>
      <c r="C130" s="292" t="s">
        <v>170</v>
      </c>
      <c r="D130" s="120" t="e">
        <f ca="1">'Fixed Curtain Officr Copy'!R25</f>
        <v>#NAME?</v>
      </c>
      <c r="H130" s="299"/>
    </row>
    <row r="131" spans="1:8" ht="15.75">
      <c r="A131" s="292" t="s">
        <v>171</v>
      </c>
      <c r="B131" s="120" t="e">
        <f ca="1">'Fixed Curtain Officr Copy'!P26</f>
        <v>#NAME?</v>
      </c>
      <c r="C131" s="292" t="s">
        <v>171</v>
      </c>
      <c r="D131" s="120" t="e">
        <f ca="1">'Fixed Curtain Officr Copy'!R26</f>
        <v>#NAME?</v>
      </c>
      <c r="H131" s="300"/>
    </row>
    <row r="132" spans="1:8" ht="15.75">
      <c r="A132" s="292" t="s">
        <v>153</v>
      </c>
      <c r="B132" s="120" t="e">
        <f ca="1">'Fixed Curtain Officr Copy'!U27</f>
        <v>#NAME?</v>
      </c>
      <c r="C132" s="292" t="s">
        <v>153</v>
      </c>
      <c r="D132" s="120" t="e">
        <f ca="1">'Fixed Curtain Officr Copy'!W27</f>
        <v>#NAME?</v>
      </c>
      <c r="H132" s="300"/>
    </row>
    <row r="133" spans="1:8" ht="15.75">
      <c r="A133" s="292" t="s">
        <v>154</v>
      </c>
      <c r="B133" s="121" t="e">
        <f ca="1">'Fixed Curtain Officr Copy'!U28</f>
        <v>#NAME?</v>
      </c>
      <c r="C133" s="292" t="s">
        <v>154</v>
      </c>
      <c r="D133" s="121" t="e">
        <f ca="1">'Fixed Curtain Officr Copy'!W28</f>
        <v>#NAME?</v>
      </c>
      <c r="H133" s="300"/>
    </row>
    <row r="134" spans="1:8">
      <c r="H134" s="300"/>
    </row>
    <row r="135" spans="1:8" ht="15" thickBot="1">
      <c r="H135" s="4"/>
    </row>
    <row r="136" spans="1:8" ht="21" thickBot="1">
      <c r="A136" s="289" t="s">
        <v>183</v>
      </c>
    </row>
    <row r="137" spans="1:8">
      <c r="A137" s="316" t="s">
        <v>187</v>
      </c>
      <c r="B137" s="317" t="s">
        <v>34</v>
      </c>
      <c r="C137" s="317" t="s">
        <v>188</v>
      </c>
      <c r="D137" s="317" t="s">
        <v>2</v>
      </c>
      <c r="E137" s="317" t="s">
        <v>200</v>
      </c>
      <c r="F137" s="150" t="s">
        <v>6</v>
      </c>
      <c r="G137" s="174" t="s">
        <v>232</v>
      </c>
    </row>
    <row r="138" spans="1:8">
      <c r="A138" s="318" t="s">
        <v>189</v>
      </c>
      <c r="B138" s="268" t="s">
        <v>190</v>
      </c>
      <c r="C138" s="268" t="s">
        <v>147</v>
      </c>
      <c r="D138" s="268">
        <f>'Fixed Curtain Officr Copy'!R37</f>
        <v>0</v>
      </c>
      <c r="E138" s="268" t="s">
        <v>21</v>
      </c>
      <c r="F138" s="6">
        <f>'Fixed Curtain Officr Copy'!W37</f>
        <v>0</v>
      </c>
      <c r="G138" s="319">
        <f>'Fixed Curtain Officr Copy'!Y37</f>
        <v>0</v>
      </c>
    </row>
    <row r="139" spans="1:8" ht="15" thickBot="1">
      <c r="A139" s="320" t="s">
        <v>192</v>
      </c>
      <c r="B139" s="2" t="s">
        <v>191</v>
      </c>
      <c r="C139" s="2" t="s">
        <v>145</v>
      </c>
      <c r="D139" s="2">
        <f>'Fixed Curtain Officr Copy'!R38</f>
        <v>0</v>
      </c>
      <c r="E139" s="2" t="s">
        <v>21</v>
      </c>
      <c r="F139" s="321">
        <f>'Fixed Curtain Officr Copy'!W38</f>
        <v>0</v>
      </c>
      <c r="G139" s="322">
        <f>'Fixed Curtain Officr Copy'!Y38</f>
        <v>0</v>
      </c>
    </row>
    <row r="141" spans="1:8" ht="15" thickBot="1"/>
    <row r="142" spans="1:8" ht="20.25">
      <c r="A142" s="149" t="s">
        <v>182</v>
      </c>
      <c r="B142" s="150" t="s">
        <v>2</v>
      </c>
      <c r="C142" s="150" t="s">
        <v>4</v>
      </c>
      <c r="D142" s="150" t="s">
        <v>53</v>
      </c>
      <c r="E142" s="174" t="s">
        <v>231</v>
      </c>
    </row>
    <row r="143" spans="1:8">
      <c r="A143" s="114" t="s">
        <v>158</v>
      </c>
      <c r="B143" s="23" t="str">
        <f>IF('Fixed Curtain Officr Copy'!AD5="","",'Fixed Curtain Officr Copy'!AD5)</f>
        <v/>
      </c>
      <c r="C143" s="298">
        <f>'Fixed Curtain Officr Copy'!AE5</f>
        <v>25</v>
      </c>
      <c r="D143" s="118">
        <f>'Fixed Curtain Officr Copy'!AF5</f>
        <v>0</v>
      </c>
      <c r="E143" s="345">
        <f>'Fixed Curtain Officr Copy'!AH5</f>
        <v>0</v>
      </c>
    </row>
    <row r="144" spans="1:8">
      <c r="A144" s="114" t="s">
        <v>162</v>
      </c>
      <c r="B144" s="23" t="str">
        <f>IF('Fixed Curtain Officr Copy'!AD6="","",'Fixed Curtain Officr Copy'!AD6)</f>
        <v/>
      </c>
      <c r="C144" s="298">
        <f>'Fixed Curtain Officr Copy'!AE6</f>
        <v>80</v>
      </c>
      <c r="D144" s="118">
        <f>'Fixed Curtain Officr Copy'!AF6</f>
        <v>0</v>
      </c>
      <c r="E144" s="345">
        <f>'Fixed Curtain Officr Copy'!AH6</f>
        <v>0</v>
      </c>
    </row>
    <row r="145" spans="1:7">
      <c r="A145" s="114" t="s">
        <v>163</v>
      </c>
      <c r="B145" s="23" t="str">
        <f>IF('Fixed Curtain Officr Copy'!AD7="","",'Fixed Curtain Officr Copy'!AD7)</f>
        <v/>
      </c>
      <c r="C145" s="298">
        <f>'Fixed Curtain Officr Copy'!AE7</f>
        <v>30</v>
      </c>
      <c r="D145" s="118">
        <f>'Fixed Curtain Officr Copy'!AF7</f>
        <v>0</v>
      </c>
      <c r="E145" s="345">
        <f>'Fixed Curtain Officr Copy'!AH7</f>
        <v>0</v>
      </c>
    </row>
    <row r="146" spans="1:7">
      <c r="A146" s="309" t="s">
        <v>229</v>
      </c>
      <c r="B146" s="23" t="str">
        <f>IF('Fixed Curtain Officr Copy'!AD8="","",'Fixed Curtain Officr Copy'!AD8)</f>
        <v/>
      </c>
      <c r="C146" s="298">
        <f>'Fixed Curtain Officr Copy'!AE8</f>
        <v>190</v>
      </c>
      <c r="D146" s="118">
        <f>'Fixed Curtain Officr Copy'!AF8</f>
        <v>0</v>
      </c>
      <c r="E146" s="345">
        <f>'Fixed Curtain Officr Copy'!AH8</f>
        <v>0</v>
      </c>
    </row>
    <row r="147" spans="1:7" ht="15" thickBot="1">
      <c r="A147" s="309" t="s">
        <v>164</v>
      </c>
      <c r="B147" s="347" t="str">
        <f>IF('Fixed Curtain Officr Copy'!AD9="","",'Fixed Curtain Officr Copy'!AD9)</f>
        <v/>
      </c>
      <c r="C147" s="348">
        <f>'Fixed Curtain Officr Copy'!AE9</f>
        <v>30</v>
      </c>
      <c r="D147" s="335">
        <f>'Fixed Curtain Officr Copy'!AF9</f>
        <v>0</v>
      </c>
      <c r="E147" s="346">
        <f>'Fixed Curtain Officr Copy'!AH9</f>
        <v>0</v>
      </c>
    </row>
    <row r="148" spans="1:7" ht="18.75" thickBot="1">
      <c r="A148" s="370"/>
      <c r="B148" s="372"/>
      <c r="C148" s="338" t="s">
        <v>228</v>
      </c>
      <c r="D148" s="353">
        <f>'Fixed Curtain Officr Copy'!U24</f>
        <v>0</v>
      </c>
      <c r="E148" s="354">
        <f>'Fixed Curtain Officr Copy'!AD10</f>
        <v>0</v>
      </c>
      <c r="F148" s="132"/>
      <c r="G148" s="132"/>
    </row>
  </sheetData>
  <mergeCells count="7">
    <mergeCell ref="A120:C120"/>
    <mergeCell ref="A148:B148"/>
    <mergeCell ref="A17:B17"/>
    <mergeCell ref="A39:B39"/>
    <mergeCell ref="A62:B62"/>
    <mergeCell ref="A84:B84"/>
    <mergeCell ref="A107:B107"/>
  </mergeCells>
  <phoneticPr fontId="17" type="noConversion"/>
  <dataValidations count="2">
    <dataValidation type="date" operator="greaterThanOrEqual" allowBlank="1" showInputMessage="1" showErrorMessage="1" error="You must enter a date greater than today" prompt="Format: dd/mm/year" sqref="B129">
      <formula1>TODAY()</formula1>
    </dataValidation>
    <dataValidation type="decimal" operator="greaterThanOrEqual" allowBlank="1" showInputMessage="1" showErrorMessage="1" sqref="B3:C4 B5:B16 D6:D17 C6:C16 B25:C38 D48:D62 D25:D39 D70:D84 B48:C61 D93:D107 B70:C83 B93:C106">
      <formula1>0</formula1>
    </dataValidation>
  </dataValidations>
  <pageMargins left="0.7" right="0.7" top="0.75" bottom="0.75" header="0.3" footer="0.3"/>
  <pageSetup scale="69" fitToHeight="4" orientation="landscape" verticalDpi="0" r:id="rId1"/>
  <headerFooter>
    <oddFooter>&amp;L&amp;D&amp;T&amp;R&amp;Z&amp;F</oddFooter>
  </headerFooter>
  <rowBreaks count="2" manualBreakCount="2">
    <brk id="37" max="16383" man="1"/>
    <brk id="94"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123"/>
  <sheetViews>
    <sheetView workbookViewId="0"/>
  </sheetViews>
  <sheetFormatPr defaultRowHeight="14.25"/>
  <cols>
    <col min="1" max="1" width="47.375" bestFit="1" customWidth="1"/>
    <col min="2" max="3" width="14.25" customWidth="1"/>
    <col min="4" max="4" width="5.75" bestFit="1" customWidth="1"/>
    <col min="5" max="5" width="13.625" bestFit="1" customWidth="1"/>
    <col min="6" max="6" width="29.625" customWidth="1"/>
    <col min="7" max="7" width="44" bestFit="1" customWidth="1"/>
  </cols>
  <sheetData>
    <row r="1" spans="1:6" ht="20.25">
      <c r="A1" s="149" t="s">
        <v>37</v>
      </c>
      <c r="B1" s="359"/>
    </row>
    <row r="2" spans="1:6" ht="15.75">
      <c r="A2" s="360" t="s">
        <v>31</v>
      </c>
      <c r="B2" s="328"/>
      <c r="D2" s="376" t="s">
        <v>234</v>
      </c>
      <c r="E2" s="376"/>
      <c r="F2" s="376"/>
    </row>
    <row r="3" spans="1:6" ht="15.75">
      <c r="A3" s="361" t="s">
        <v>55</v>
      </c>
      <c r="B3" s="10"/>
      <c r="D3" s="368" t="s">
        <v>236</v>
      </c>
      <c r="E3" s="367" t="s">
        <v>233</v>
      </c>
    </row>
    <row r="4" spans="1:6" ht="15.75">
      <c r="A4" s="361" t="s">
        <v>32</v>
      </c>
      <c r="B4" s="10"/>
      <c r="C4" s="132"/>
      <c r="D4" s="366" t="s">
        <v>237</v>
      </c>
      <c r="E4" s="367" t="s">
        <v>214</v>
      </c>
    </row>
    <row r="5" spans="1:6" ht="15.75">
      <c r="A5" s="361" t="s">
        <v>54</v>
      </c>
      <c r="B5" s="10"/>
      <c r="C5" s="132"/>
      <c r="D5" s="368" t="s">
        <v>238</v>
      </c>
      <c r="E5" s="367" t="s">
        <v>201</v>
      </c>
    </row>
    <row r="6" spans="1:6" ht="15.75">
      <c r="A6" s="361" t="s">
        <v>33</v>
      </c>
      <c r="B6" s="10"/>
      <c r="C6" s="132"/>
      <c r="D6" s="368" t="s">
        <v>239</v>
      </c>
      <c r="E6" s="367" t="s">
        <v>202</v>
      </c>
    </row>
    <row r="7" spans="1:6" ht="15.75">
      <c r="A7" s="361" t="s">
        <v>60</v>
      </c>
      <c r="B7" s="362"/>
      <c r="C7" s="132"/>
      <c r="D7" s="368" t="s">
        <v>240</v>
      </c>
      <c r="E7" s="367" t="s">
        <v>203</v>
      </c>
    </row>
    <row r="8" spans="1:6" ht="15.75">
      <c r="A8" s="361" t="s">
        <v>66</v>
      </c>
      <c r="B8" s="28"/>
      <c r="D8" s="368" t="s">
        <v>241</v>
      </c>
      <c r="E8" s="367" t="s">
        <v>215</v>
      </c>
    </row>
    <row r="9" spans="1:6" ht="16.5" thickBot="1">
      <c r="A9" s="363" t="s">
        <v>173</v>
      </c>
      <c r="B9" s="364"/>
    </row>
    <row r="10" spans="1:6" ht="15" thickBot="1"/>
    <row r="11" spans="1:6" ht="21" thickBot="1">
      <c r="A11" s="20" t="s">
        <v>9</v>
      </c>
      <c r="B11" s="373" t="s">
        <v>235</v>
      </c>
      <c r="C11" s="374"/>
      <c r="D11" s="375"/>
    </row>
    <row r="12" spans="1:6" ht="20.25">
      <c r="A12" s="149" t="s">
        <v>34</v>
      </c>
      <c r="B12" s="150" t="s">
        <v>0</v>
      </c>
      <c r="C12" s="150" t="s">
        <v>1</v>
      </c>
      <c r="D12" s="174" t="s">
        <v>200</v>
      </c>
    </row>
    <row r="13" spans="1:6">
      <c r="A13" s="153" t="s">
        <v>88</v>
      </c>
      <c r="B13" s="268"/>
      <c r="C13" s="268"/>
      <c r="D13" s="175" t="s">
        <v>19</v>
      </c>
    </row>
    <row r="14" spans="1:6">
      <c r="A14" s="153" t="s">
        <v>172</v>
      </c>
      <c r="B14" s="268"/>
      <c r="C14" s="268"/>
      <c r="D14" s="175" t="s">
        <v>19</v>
      </c>
    </row>
    <row r="15" spans="1:6" ht="20.25">
      <c r="A15" s="342" t="s">
        <v>35</v>
      </c>
      <c r="B15" s="272" t="s">
        <v>22</v>
      </c>
      <c r="C15" s="272" t="s">
        <v>22</v>
      </c>
      <c r="D15" s="365" t="s">
        <v>22</v>
      </c>
    </row>
    <row r="16" spans="1:6">
      <c r="A16" s="153" t="s">
        <v>90</v>
      </c>
      <c r="B16" s="268"/>
      <c r="C16" s="268" t="s">
        <v>89</v>
      </c>
      <c r="D16" s="175" t="s">
        <v>42</v>
      </c>
    </row>
    <row r="17" spans="1:4">
      <c r="A17" s="153" t="s">
        <v>16</v>
      </c>
      <c r="B17" s="268"/>
      <c r="C17" s="268"/>
      <c r="D17" s="357" t="s">
        <v>20</v>
      </c>
    </row>
    <row r="18" spans="1:4">
      <c r="A18" s="153" t="s">
        <v>17</v>
      </c>
      <c r="B18" s="268"/>
      <c r="C18" s="268" t="s">
        <v>89</v>
      </c>
      <c r="D18" s="357" t="s">
        <v>20</v>
      </c>
    </row>
    <row r="19" spans="1:4">
      <c r="A19" s="153" t="s">
        <v>18</v>
      </c>
      <c r="B19" s="268"/>
      <c r="C19" s="268"/>
      <c r="D19" s="357" t="s">
        <v>20</v>
      </c>
    </row>
    <row r="20" spans="1:4">
      <c r="A20" s="153" t="s">
        <v>227</v>
      </c>
      <c r="B20" s="268"/>
      <c r="C20" s="268" t="s">
        <v>89</v>
      </c>
      <c r="D20" s="357" t="s">
        <v>21</v>
      </c>
    </row>
    <row r="21" spans="1:4">
      <c r="A21" s="153" t="s">
        <v>156</v>
      </c>
      <c r="B21" s="268"/>
      <c r="C21" s="268" t="s">
        <v>89</v>
      </c>
      <c r="D21" s="357" t="s">
        <v>21</v>
      </c>
    </row>
    <row r="22" spans="1:4">
      <c r="A22" s="153" t="s">
        <v>43</v>
      </c>
      <c r="B22" s="268"/>
      <c r="C22" s="268"/>
      <c r="D22" s="357" t="s">
        <v>20</v>
      </c>
    </row>
    <row r="23" spans="1:4">
      <c r="A23" s="153" t="s">
        <v>216</v>
      </c>
      <c r="B23" s="268"/>
      <c r="C23" s="268" t="s">
        <v>89</v>
      </c>
      <c r="D23" s="357" t="s">
        <v>20</v>
      </c>
    </row>
    <row r="24" spans="1:4">
      <c r="A24" s="153" t="s">
        <v>217</v>
      </c>
      <c r="B24" s="268"/>
      <c r="C24" s="268" t="s">
        <v>89</v>
      </c>
      <c r="D24" s="357" t="s">
        <v>20</v>
      </c>
    </row>
    <row r="25" spans="1:4">
      <c r="A25" s="153" t="s">
        <v>218</v>
      </c>
      <c r="B25" s="268"/>
      <c r="C25" s="268" t="s">
        <v>89</v>
      </c>
      <c r="D25" s="357" t="s">
        <v>20</v>
      </c>
    </row>
    <row r="26" spans="1:4" ht="15" thickBot="1">
      <c r="A26" s="154" t="s">
        <v>93</v>
      </c>
      <c r="B26" s="2" t="s">
        <v>89</v>
      </c>
      <c r="C26" s="2" t="s">
        <v>89</v>
      </c>
      <c r="D26" s="358" t="s">
        <v>21</v>
      </c>
    </row>
    <row r="27" spans="1:4">
      <c r="C27" s="133"/>
      <c r="D27" s="132"/>
    </row>
    <row r="28" spans="1:4" ht="15" thickBot="1">
      <c r="A28" s="133"/>
      <c r="B28" s="135"/>
      <c r="C28" s="133"/>
      <c r="D28" s="132"/>
    </row>
    <row r="29" spans="1:4" ht="21" thickBot="1">
      <c r="A29" s="20" t="s">
        <v>11</v>
      </c>
      <c r="B29" s="373" t="s">
        <v>235</v>
      </c>
      <c r="C29" s="374"/>
      <c r="D29" s="375"/>
    </row>
    <row r="30" spans="1:4" ht="20.25">
      <c r="A30" s="149" t="s">
        <v>34</v>
      </c>
      <c r="B30" s="150" t="s">
        <v>0</v>
      </c>
      <c r="C30" s="150" t="s">
        <v>1</v>
      </c>
      <c r="D30" s="174" t="s">
        <v>200</v>
      </c>
    </row>
    <row r="31" spans="1:4">
      <c r="A31" s="153" t="s">
        <v>88</v>
      </c>
      <c r="B31" s="268"/>
      <c r="C31" s="268"/>
      <c r="D31" s="175" t="s">
        <v>19</v>
      </c>
    </row>
    <row r="32" spans="1:4">
      <c r="A32" s="153" t="s">
        <v>172</v>
      </c>
      <c r="B32" s="268"/>
      <c r="C32" s="268"/>
      <c r="D32" s="175" t="s">
        <v>19</v>
      </c>
    </row>
    <row r="33" spans="1:4" ht="20.25">
      <c r="A33" s="342" t="s">
        <v>35</v>
      </c>
      <c r="B33" s="272" t="s">
        <v>22</v>
      </c>
      <c r="C33" s="272" t="s">
        <v>22</v>
      </c>
      <c r="D33" s="365" t="s">
        <v>22</v>
      </c>
    </row>
    <row r="34" spans="1:4">
      <c r="A34" s="153" t="s">
        <v>90</v>
      </c>
      <c r="B34" s="268"/>
      <c r="C34" s="268" t="s">
        <v>89</v>
      </c>
      <c r="D34" s="175" t="s">
        <v>42</v>
      </c>
    </row>
    <row r="35" spans="1:4">
      <c r="A35" s="153" t="s">
        <v>16</v>
      </c>
      <c r="B35" s="268"/>
      <c r="C35" s="268"/>
      <c r="D35" s="357" t="s">
        <v>20</v>
      </c>
    </row>
    <row r="36" spans="1:4">
      <c r="A36" s="153" t="s">
        <v>17</v>
      </c>
      <c r="B36" s="268"/>
      <c r="C36" s="268" t="s">
        <v>89</v>
      </c>
      <c r="D36" s="357" t="s">
        <v>20</v>
      </c>
    </row>
    <row r="37" spans="1:4">
      <c r="A37" s="153" t="s">
        <v>18</v>
      </c>
      <c r="B37" s="268"/>
      <c r="C37" s="268"/>
      <c r="D37" s="357" t="s">
        <v>20</v>
      </c>
    </row>
    <row r="38" spans="1:4">
      <c r="A38" s="153" t="s">
        <v>227</v>
      </c>
      <c r="B38" s="268"/>
      <c r="C38" s="268" t="s">
        <v>89</v>
      </c>
      <c r="D38" s="357" t="s">
        <v>21</v>
      </c>
    </row>
    <row r="39" spans="1:4">
      <c r="A39" s="153" t="s">
        <v>156</v>
      </c>
      <c r="B39" s="268"/>
      <c r="C39" s="268" t="s">
        <v>89</v>
      </c>
      <c r="D39" s="357" t="s">
        <v>21</v>
      </c>
    </row>
    <row r="40" spans="1:4">
      <c r="A40" s="153" t="s">
        <v>43</v>
      </c>
      <c r="B40" s="268"/>
      <c r="C40" s="268"/>
      <c r="D40" s="357" t="s">
        <v>20</v>
      </c>
    </row>
    <row r="41" spans="1:4">
      <c r="A41" s="153" t="s">
        <v>216</v>
      </c>
      <c r="B41" s="268"/>
      <c r="C41" s="268" t="s">
        <v>89</v>
      </c>
      <c r="D41" s="357" t="s">
        <v>20</v>
      </c>
    </row>
    <row r="42" spans="1:4">
      <c r="A42" s="153" t="s">
        <v>217</v>
      </c>
      <c r="B42" s="268"/>
      <c r="C42" s="268" t="s">
        <v>89</v>
      </c>
      <c r="D42" s="357" t="s">
        <v>20</v>
      </c>
    </row>
    <row r="43" spans="1:4">
      <c r="A43" s="153" t="s">
        <v>218</v>
      </c>
      <c r="B43" s="268"/>
      <c r="C43" s="268" t="s">
        <v>89</v>
      </c>
      <c r="D43" s="357" t="s">
        <v>20</v>
      </c>
    </row>
    <row r="44" spans="1:4" ht="15" thickBot="1">
      <c r="A44" s="154" t="s">
        <v>93</v>
      </c>
      <c r="B44" s="2" t="s">
        <v>89</v>
      </c>
      <c r="C44" s="2" t="s">
        <v>89</v>
      </c>
      <c r="D44" s="358" t="s">
        <v>21</v>
      </c>
    </row>
    <row r="46" spans="1:4" ht="15" thickBot="1">
      <c r="A46" s="133"/>
      <c r="B46" s="135"/>
      <c r="C46" s="133"/>
      <c r="D46" s="132"/>
    </row>
    <row r="47" spans="1:4" ht="21" thickBot="1">
      <c r="A47" s="20" t="s">
        <v>13</v>
      </c>
      <c r="B47" s="373" t="s">
        <v>235</v>
      </c>
      <c r="C47" s="374"/>
      <c r="D47" s="375"/>
    </row>
    <row r="48" spans="1:4" ht="20.25">
      <c r="A48" s="149" t="s">
        <v>34</v>
      </c>
      <c r="B48" s="150" t="s">
        <v>0</v>
      </c>
      <c r="C48" s="150" t="s">
        <v>1</v>
      </c>
      <c r="D48" s="174" t="s">
        <v>200</v>
      </c>
    </row>
    <row r="49" spans="1:4">
      <c r="A49" s="153" t="s">
        <v>88</v>
      </c>
      <c r="B49" s="268"/>
      <c r="C49" s="268"/>
      <c r="D49" s="175" t="s">
        <v>19</v>
      </c>
    </row>
    <row r="50" spans="1:4">
      <c r="A50" s="153" t="s">
        <v>172</v>
      </c>
      <c r="B50" s="268"/>
      <c r="C50" s="268"/>
      <c r="D50" s="175" t="s">
        <v>19</v>
      </c>
    </row>
    <row r="51" spans="1:4" ht="20.25">
      <c r="A51" s="342" t="s">
        <v>35</v>
      </c>
      <c r="B51" s="272" t="s">
        <v>22</v>
      </c>
      <c r="C51" s="272" t="s">
        <v>22</v>
      </c>
      <c r="D51" s="365" t="s">
        <v>22</v>
      </c>
    </row>
    <row r="52" spans="1:4">
      <c r="A52" s="153" t="s">
        <v>90</v>
      </c>
      <c r="B52" s="268"/>
      <c r="C52" s="268" t="s">
        <v>89</v>
      </c>
      <c r="D52" s="175" t="s">
        <v>42</v>
      </c>
    </row>
    <row r="53" spans="1:4">
      <c r="A53" s="153" t="s">
        <v>16</v>
      </c>
      <c r="B53" s="268"/>
      <c r="C53" s="268"/>
      <c r="D53" s="357" t="s">
        <v>20</v>
      </c>
    </row>
    <row r="54" spans="1:4">
      <c r="A54" s="153" t="s">
        <v>17</v>
      </c>
      <c r="B54" s="268"/>
      <c r="C54" s="268" t="s">
        <v>89</v>
      </c>
      <c r="D54" s="357" t="s">
        <v>20</v>
      </c>
    </row>
    <row r="55" spans="1:4">
      <c r="A55" s="153" t="s">
        <v>18</v>
      </c>
      <c r="B55" s="268"/>
      <c r="C55" s="268"/>
      <c r="D55" s="357" t="s">
        <v>20</v>
      </c>
    </row>
    <row r="56" spans="1:4">
      <c r="A56" s="153" t="s">
        <v>227</v>
      </c>
      <c r="B56" s="268"/>
      <c r="C56" s="268" t="s">
        <v>89</v>
      </c>
      <c r="D56" s="357" t="s">
        <v>21</v>
      </c>
    </row>
    <row r="57" spans="1:4">
      <c r="A57" s="153" t="s">
        <v>156</v>
      </c>
      <c r="B57" s="268"/>
      <c r="C57" s="268" t="s">
        <v>89</v>
      </c>
      <c r="D57" s="357" t="s">
        <v>21</v>
      </c>
    </row>
    <row r="58" spans="1:4">
      <c r="A58" s="153" t="s">
        <v>43</v>
      </c>
      <c r="B58" s="268"/>
      <c r="C58" s="268"/>
      <c r="D58" s="357" t="s">
        <v>20</v>
      </c>
    </row>
    <row r="59" spans="1:4">
      <c r="A59" s="153" t="s">
        <v>216</v>
      </c>
      <c r="B59" s="268"/>
      <c r="C59" s="268" t="s">
        <v>89</v>
      </c>
      <c r="D59" s="357" t="s">
        <v>20</v>
      </c>
    </row>
    <row r="60" spans="1:4">
      <c r="A60" s="153" t="s">
        <v>217</v>
      </c>
      <c r="B60" s="268"/>
      <c r="C60" s="268" t="s">
        <v>89</v>
      </c>
      <c r="D60" s="357" t="s">
        <v>20</v>
      </c>
    </row>
    <row r="61" spans="1:4">
      <c r="A61" s="153" t="s">
        <v>218</v>
      </c>
      <c r="B61" s="268"/>
      <c r="C61" s="268" t="s">
        <v>89</v>
      </c>
      <c r="D61" s="357" t="s">
        <v>20</v>
      </c>
    </row>
    <row r="62" spans="1:4" ht="15" thickBot="1">
      <c r="A62" s="154" t="s">
        <v>93</v>
      </c>
      <c r="B62" s="2" t="s">
        <v>89</v>
      </c>
      <c r="C62" s="2" t="s">
        <v>89</v>
      </c>
      <c r="D62" s="358" t="s">
        <v>21</v>
      </c>
    </row>
    <row r="63" spans="1:4" ht="15" thickBot="1">
      <c r="C63" s="133"/>
      <c r="D63" s="132"/>
    </row>
    <row r="64" spans="1:4" ht="21" thickBot="1">
      <c r="A64" s="20" t="s">
        <v>14</v>
      </c>
      <c r="B64" s="373" t="s">
        <v>235</v>
      </c>
      <c r="C64" s="374"/>
      <c r="D64" s="375"/>
    </row>
    <row r="65" spans="1:4" ht="20.25">
      <c r="A65" s="149" t="s">
        <v>34</v>
      </c>
      <c r="B65" s="150" t="s">
        <v>0</v>
      </c>
      <c r="C65" s="150" t="s">
        <v>1</v>
      </c>
      <c r="D65" s="174" t="s">
        <v>200</v>
      </c>
    </row>
    <row r="66" spans="1:4">
      <c r="A66" s="153" t="s">
        <v>87</v>
      </c>
      <c r="B66" s="275"/>
      <c r="C66" s="275"/>
      <c r="D66" s="175" t="s">
        <v>19</v>
      </c>
    </row>
    <row r="67" spans="1:4">
      <c r="A67" s="153" t="s">
        <v>15</v>
      </c>
      <c r="B67" s="275"/>
      <c r="C67" s="275"/>
      <c r="D67" s="175" t="s">
        <v>19</v>
      </c>
    </row>
    <row r="68" spans="1:4" ht="20.25">
      <c r="A68" s="342" t="s">
        <v>35</v>
      </c>
      <c r="B68" s="274" t="s">
        <v>22</v>
      </c>
      <c r="C68" s="274" t="s">
        <v>22</v>
      </c>
      <c r="D68" s="356" t="s">
        <v>22</v>
      </c>
    </row>
    <row r="69" spans="1:4">
      <c r="A69" s="153" t="s">
        <v>90</v>
      </c>
      <c r="B69" s="268"/>
      <c r="C69" s="268" t="s">
        <v>89</v>
      </c>
      <c r="D69" s="175" t="s">
        <v>42</v>
      </c>
    </row>
    <row r="70" spans="1:4">
      <c r="A70" s="153" t="s">
        <v>16</v>
      </c>
      <c r="B70" s="268"/>
      <c r="C70" s="268"/>
      <c r="D70" s="357" t="s">
        <v>20</v>
      </c>
    </row>
    <row r="71" spans="1:4">
      <c r="A71" s="153" t="s">
        <v>17</v>
      </c>
      <c r="B71" s="268"/>
      <c r="C71" s="268" t="s">
        <v>89</v>
      </c>
      <c r="D71" s="357" t="s">
        <v>20</v>
      </c>
    </row>
    <row r="72" spans="1:4">
      <c r="A72" s="153" t="s">
        <v>18</v>
      </c>
      <c r="B72" s="268"/>
      <c r="C72" s="268"/>
      <c r="D72" s="357" t="s">
        <v>20</v>
      </c>
    </row>
    <row r="73" spans="1:4">
      <c r="A73" s="153" t="s">
        <v>227</v>
      </c>
      <c r="B73" s="268"/>
      <c r="C73" s="268" t="s">
        <v>89</v>
      </c>
      <c r="D73" s="357" t="s">
        <v>21</v>
      </c>
    </row>
    <row r="74" spans="1:4">
      <c r="A74" s="153" t="s">
        <v>156</v>
      </c>
      <c r="B74" s="268"/>
      <c r="C74" s="268" t="s">
        <v>89</v>
      </c>
      <c r="D74" s="357" t="s">
        <v>21</v>
      </c>
    </row>
    <row r="75" spans="1:4">
      <c r="A75" s="153" t="s">
        <v>43</v>
      </c>
      <c r="B75" s="268"/>
      <c r="C75" s="268"/>
      <c r="D75" s="357" t="s">
        <v>20</v>
      </c>
    </row>
    <row r="76" spans="1:4">
      <c r="A76" s="153" t="s">
        <v>216</v>
      </c>
      <c r="B76" s="268"/>
      <c r="C76" s="268" t="s">
        <v>89</v>
      </c>
      <c r="D76" s="357" t="s">
        <v>20</v>
      </c>
    </row>
    <row r="77" spans="1:4">
      <c r="A77" s="153" t="s">
        <v>217</v>
      </c>
      <c r="B77" s="268"/>
      <c r="C77" s="268" t="s">
        <v>89</v>
      </c>
      <c r="D77" s="357" t="s">
        <v>20</v>
      </c>
    </row>
    <row r="78" spans="1:4">
      <c r="A78" s="153" t="s">
        <v>218</v>
      </c>
      <c r="B78" s="268"/>
      <c r="C78" s="268" t="s">
        <v>89</v>
      </c>
      <c r="D78" s="357" t="s">
        <v>20</v>
      </c>
    </row>
    <row r="79" spans="1:4" ht="15" thickBot="1">
      <c r="A79" s="154" t="s">
        <v>93</v>
      </c>
      <c r="B79" s="2" t="s">
        <v>89</v>
      </c>
      <c r="C79" s="2" t="s">
        <v>89</v>
      </c>
      <c r="D79" s="358" t="s">
        <v>21</v>
      </c>
    </row>
    <row r="80" spans="1:4">
      <c r="C80" s="133"/>
      <c r="D80" s="132"/>
    </row>
    <row r="81" spans="1:4" ht="15" thickBot="1">
      <c r="A81" s="133"/>
      <c r="B81" s="133"/>
      <c r="C81" s="133"/>
      <c r="D81" s="133"/>
    </row>
    <row r="82" spans="1:4" ht="21" thickBot="1">
      <c r="A82" s="20" t="s">
        <v>62</v>
      </c>
      <c r="B82" s="373" t="s">
        <v>235</v>
      </c>
      <c r="C82" s="374"/>
      <c r="D82" s="375"/>
    </row>
    <row r="83" spans="1:4" ht="20.25">
      <c r="A83" s="290" t="s">
        <v>34</v>
      </c>
      <c r="B83" s="265" t="s">
        <v>0</v>
      </c>
      <c r="C83" s="265" t="s">
        <v>1</v>
      </c>
      <c r="D83" s="280" t="s">
        <v>200</v>
      </c>
    </row>
    <row r="84" spans="1:4">
      <c r="A84" s="153" t="s">
        <v>86</v>
      </c>
      <c r="B84" s="275"/>
      <c r="C84" s="275"/>
      <c r="D84" s="175" t="s">
        <v>19</v>
      </c>
    </row>
    <row r="85" spans="1:4">
      <c r="A85" s="153" t="s">
        <v>65</v>
      </c>
      <c r="B85" s="275"/>
      <c r="C85" s="275"/>
      <c r="D85" s="175" t="s">
        <v>19</v>
      </c>
    </row>
    <row r="86" spans="1:4" ht="20.25">
      <c r="A86" s="342" t="s">
        <v>35</v>
      </c>
      <c r="B86" s="274" t="str">
        <f>'Fixed Curtain Officr Copy'!B87</f>
        <v>~</v>
      </c>
      <c r="C86" s="274" t="str">
        <f>'Fixed Curtain Officr Copy'!C87</f>
        <v>~</v>
      </c>
      <c r="D86" s="356" t="s">
        <v>22</v>
      </c>
    </row>
    <row r="87" spans="1:4">
      <c r="A87" s="153" t="s">
        <v>90</v>
      </c>
      <c r="B87" s="268"/>
      <c r="C87" s="268" t="str">
        <f>'Fixed Curtain Officr Copy'!C88</f>
        <v>N/A</v>
      </c>
      <c r="D87" s="175" t="s">
        <v>42</v>
      </c>
    </row>
    <row r="88" spans="1:4">
      <c r="A88" s="153" t="s">
        <v>16</v>
      </c>
      <c r="B88" s="268"/>
      <c r="C88" s="268"/>
      <c r="D88" s="357" t="s">
        <v>20</v>
      </c>
    </row>
    <row r="89" spans="1:4">
      <c r="A89" s="153" t="s">
        <v>17</v>
      </c>
      <c r="B89" s="268"/>
      <c r="C89" s="268" t="str">
        <f>'Fixed Curtain Officr Copy'!C90</f>
        <v>N/A</v>
      </c>
      <c r="D89" s="357" t="s">
        <v>20</v>
      </c>
    </row>
    <row r="90" spans="1:4">
      <c r="A90" s="153" t="s">
        <v>18</v>
      </c>
      <c r="B90" s="268"/>
      <c r="C90" s="268"/>
      <c r="D90" s="357" t="s">
        <v>20</v>
      </c>
    </row>
    <row r="91" spans="1:4">
      <c r="A91" s="153" t="s">
        <v>227</v>
      </c>
      <c r="B91" s="268"/>
      <c r="C91" s="268" t="str">
        <f>'Fixed Curtain Officr Copy'!C92</f>
        <v>N/A</v>
      </c>
      <c r="D91" s="357" t="s">
        <v>21</v>
      </c>
    </row>
    <row r="92" spans="1:4">
      <c r="A92" s="153" t="s">
        <v>156</v>
      </c>
      <c r="B92" s="268"/>
      <c r="C92" s="268" t="str">
        <f>'Fixed Curtain Officr Copy'!C93</f>
        <v>N/A</v>
      </c>
      <c r="D92" s="357" t="s">
        <v>21</v>
      </c>
    </row>
    <row r="93" spans="1:4">
      <c r="A93" s="153" t="s">
        <v>43</v>
      </c>
      <c r="B93" s="268"/>
      <c r="C93" s="268"/>
      <c r="D93" s="357" t="s">
        <v>20</v>
      </c>
    </row>
    <row r="94" spans="1:4">
      <c r="A94" s="153" t="s">
        <v>216</v>
      </c>
      <c r="B94" s="268"/>
      <c r="C94" s="268" t="str">
        <f>'Fixed Curtain Officr Copy'!C95</f>
        <v>N/A</v>
      </c>
      <c r="D94" s="357" t="s">
        <v>20</v>
      </c>
    </row>
    <row r="95" spans="1:4">
      <c r="A95" s="153" t="s">
        <v>217</v>
      </c>
      <c r="B95" s="268"/>
      <c r="C95" s="268" t="str">
        <f>'Fixed Curtain Officr Copy'!C96</f>
        <v>N/A</v>
      </c>
      <c r="D95" s="357" t="s">
        <v>20</v>
      </c>
    </row>
    <row r="96" spans="1:4">
      <c r="A96" s="153" t="s">
        <v>218</v>
      </c>
      <c r="B96" s="268"/>
      <c r="C96" s="268" t="str">
        <f>'Fixed Curtain Officr Copy'!C97</f>
        <v>N/A</v>
      </c>
      <c r="D96" s="357" t="s">
        <v>20</v>
      </c>
    </row>
    <row r="97" spans="1:4" ht="15" thickBot="1">
      <c r="A97" s="154" t="s">
        <v>93</v>
      </c>
      <c r="B97" s="2" t="str">
        <f>'Fixed Curtain Officr Copy'!B98</f>
        <v>N/A</v>
      </c>
      <c r="C97" s="2" t="str">
        <f>'Fixed Curtain Officr Copy'!C98</f>
        <v>N/A</v>
      </c>
      <c r="D97" s="358" t="s">
        <v>21</v>
      </c>
    </row>
    <row r="99" spans="1:4" ht="15" thickBot="1"/>
    <row r="100" spans="1:4" ht="20.25">
      <c r="A100" s="290" t="s">
        <v>40</v>
      </c>
      <c r="B100" s="355" t="s">
        <v>2</v>
      </c>
    </row>
    <row r="101" spans="1:4">
      <c r="A101" s="153" t="s">
        <v>99</v>
      </c>
      <c r="B101" s="175">
        <v>1</v>
      </c>
    </row>
    <row r="102" spans="1:4">
      <c r="A102" s="153" t="s">
        <v>98</v>
      </c>
      <c r="B102" s="175"/>
    </row>
    <row r="103" spans="1:4">
      <c r="A103" s="153" t="s">
        <v>142</v>
      </c>
      <c r="B103" s="175"/>
    </row>
    <row r="104" spans="1:4">
      <c r="A104" s="153" t="s">
        <v>25</v>
      </c>
      <c r="B104" s="175"/>
    </row>
    <row r="105" spans="1:4">
      <c r="A105" s="153" t="s">
        <v>143</v>
      </c>
      <c r="B105" s="175"/>
    </row>
    <row r="106" spans="1:4">
      <c r="A106" s="153" t="s">
        <v>144</v>
      </c>
      <c r="B106" s="175"/>
    </row>
    <row r="107" spans="1:4">
      <c r="A107" s="153" t="s">
        <v>26</v>
      </c>
      <c r="B107" s="175"/>
    </row>
    <row r="108" spans="1:4">
      <c r="A108" s="153" t="s">
        <v>27</v>
      </c>
      <c r="B108" s="175"/>
    </row>
    <row r="109" spans="1:4" ht="15" thickBot="1">
      <c r="A109" s="154" t="s">
        <v>102</v>
      </c>
      <c r="B109" s="178"/>
    </row>
    <row r="111" spans="1:4" ht="15" thickBot="1"/>
    <row r="112" spans="1:4" ht="21" thickBot="1">
      <c r="A112" s="289" t="s">
        <v>183</v>
      </c>
    </row>
    <row r="113" spans="1:5">
      <c r="A113" s="316" t="s">
        <v>187</v>
      </c>
      <c r="B113" s="317" t="s">
        <v>2</v>
      </c>
      <c r="C113" s="317" t="s">
        <v>34</v>
      </c>
      <c r="D113" s="7" t="s">
        <v>200</v>
      </c>
      <c r="E113" s="317" t="s">
        <v>188</v>
      </c>
    </row>
    <row r="114" spans="1:5">
      <c r="A114" s="318" t="s">
        <v>189</v>
      </c>
      <c r="B114" s="268"/>
      <c r="C114" s="268" t="s">
        <v>190</v>
      </c>
      <c r="D114" s="10" t="s">
        <v>21</v>
      </c>
      <c r="E114" s="268" t="s">
        <v>147</v>
      </c>
    </row>
    <row r="115" spans="1:5" ht="15" thickBot="1">
      <c r="A115" s="320" t="s">
        <v>192</v>
      </c>
      <c r="B115" s="2"/>
      <c r="C115" s="2" t="s">
        <v>191</v>
      </c>
      <c r="D115" s="30" t="s">
        <v>21</v>
      </c>
      <c r="E115" s="2" t="s">
        <v>145</v>
      </c>
    </row>
    <row r="117" spans="1:5" ht="15" thickBot="1"/>
    <row r="118" spans="1:5" ht="20.25">
      <c r="A118" s="149" t="s">
        <v>182</v>
      </c>
      <c r="B118" s="174" t="s">
        <v>2</v>
      </c>
    </row>
    <row r="119" spans="1:5">
      <c r="A119" s="114" t="s">
        <v>158</v>
      </c>
      <c r="B119" s="28" t="str">
        <f>IF('Fixed Curtain Officr Copy'!AD5="","",'Fixed Curtain Officr Copy'!AD5)</f>
        <v/>
      </c>
    </row>
    <row r="120" spans="1:5">
      <c r="A120" s="114" t="s">
        <v>162</v>
      </c>
      <c r="B120" s="28" t="str">
        <f>IF('Fixed Curtain Officr Copy'!AD6="","",'Fixed Curtain Officr Copy'!AD6)</f>
        <v/>
      </c>
    </row>
    <row r="121" spans="1:5">
      <c r="A121" s="114" t="s">
        <v>163</v>
      </c>
      <c r="B121" s="28" t="str">
        <f>IF('Fixed Curtain Officr Copy'!AD7="","",'Fixed Curtain Officr Copy'!AD7)</f>
        <v/>
      </c>
    </row>
    <row r="122" spans="1:5">
      <c r="A122" s="309" t="s">
        <v>229</v>
      </c>
      <c r="B122" s="28" t="str">
        <f>IF('Fixed Curtain Officr Copy'!AD8="","",'Fixed Curtain Officr Copy'!AD8)</f>
        <v/>
      </c>
    </row>
    <row r="123" spans="1:5" ht="15" thickBot="1">
      <c r="A123" s="123" t="s">
        <v>164</v>
      </c>
      <c r="B123" s="29" t="str">
        <f>IF('Fixed Curtain Officr Copy'!AD9="","",'Fixed Curtain Officr Copy'!AD9)</f>
        <v/>
      </c>
    </row>
  </sheetData>
  <mergeCells count="6">
    <mergeCell ref="B82:D82"/>
    <mergeCell ref="D2:F2"/>
    <mergeCell ref="B11:D11"/>
    <mergeCell ref="B29:D29"/>
    <mergeCell ref="B47:D47"/>
    <mergeCell ref="B64:D64"/>
  </mergeCells>
  <phoneticPr fontId="17" type="noConversion"/>
  <dataValidations count="1">
    <dataValidation type="decimal" operator="greaterThanOrEqual" allowBlank="1" showInputMessage="1" showErrorMessage="1" sqref="B49:C62 B66:C79 B31:C44 B84:C97 B13:C26">
      <formula1>0</formula1>
    </dataValidation>
  </dataValidations>
  <pageMargins left="0.7" right="0.7" top="0.75" bottom="0.75" header="0.3" footer="0.3"/>
  <pageSetup scale="70" fitToHeight="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F134"/>
  <sheetViews>
    <sheetView workbookViewId="0"/>
  </sheetViews>
  <sheetFormatPr defaultRowHeight="14.25"/>
  <cols>
    <col min="1" max="1" width="47" customWidth="1"/>
    <col min="2" max="2" width="18.625" customWidth="1"/>
    <col min="3" max="3" width="33.375" bestFit="1" customWidth="1"/>
    <col min="4" max="4" width="18.625" customWidth="1"/>
    <col min="5" max="6" width="14.25" customWidth="1"/>
    <col min="7" max="7" width="22.875" customWidth="1"/>
  </cols>
  <sheetData>
    <row r="1" spans="1:6" ht="20.25">
      <c r="A1" s="266" t="s">
        <v>37</v>
      </c>
      <c r="B1" s="313"/>
      <c r="C1" s="270" t="s">
        <v>179</v>
      </c>
      <c r="D1" s="293"/>
    </row>
    <row r="2" spans="1:6" ht="15.75">
      <c r="A2" s="312" t="s">
        <v>31</v>
      </c>
      <c r="B2" s="291">
        <f>'Fixed Curtain Officr Copy'!P18</f>
        <v>0</v>
      </c>
      <c r="C2" s="292" t="s">
        <v>170</v>
      </c>
      <c r="D2" s="120" t="e">
        <f ca="1">'Fixed Curtain Officr Copy'!P25</f>
        <v>#NAME?</v>
      </c>
    </row>
    <row r="3" spans="1:6" ht="15.75">
      <c r="A3" s="292" t="s">
        <v>55</v>
      </c>
      <c r="B3" s="268">
        <f>'Fixed Curtain Officr Copy'!P19</f>
        <v>0</v>
      </c>
      <c r="C3" s="292" t="s">
        <v>171</v>
      </c>
      <c r="D3" s="120" t="e">
        <f ca="1">'Fixed Curtain Officr Copy'!P26</f>
        <v>#NAME?</v>
      </c>
    </row>
    <row r="4" spans="1:6" ht="18">
      <c r="A4" s="292" t="s">
        <v>32</v>
      </c>
      <c r="B4" s="268">
        <f>'Fixed Curtain Officr Copy'!P20</f>
        <v>0</v>
      </c>
      <c r="C4" s="270" t="s">
        <v>180</v>
      </c>
      <c r="D4" s="315"/>
    </row>
    <row r="5" spans="1:6" ht="15.75">
      <c r="A5" s="292" t="s">
        <v>54</v>
      </c>
      <c r="B5" s="268">
        <f>'Fixed Curtain Officr Copy'!P21</f>
        <v>0</v>
      </c>
      <c r="C5" s="292" t="s">
        <v>170</v>
      </c>
      <c r="D5" s="120" t="e">
        <f ca="1">'Fixed Curtain Officr Copy'!R25</f>
        <v>#NAME?</v>
      </c>
    </row>
    <row r="6" spans="1:6" ht="15.75">
      <c r="A6" s="292" t="s">
        <v>33</v>
      </c>
      <c r="B6" s="268">
        <f>'Fixed Curtain Officr Copy'!P22</f>
        <v>0</v>
      </c>
      <c r="C6" s="292" t="s">
        <v>171</v>
      </c>
      <c r="D6" s="120" t="e">
        <f ca="1">'Fixed Curtain Officr Copy'!R26</f>
        <v>#NAME?</v>
      </c>
    </row>
    <row r="7" spans="1:6" ht="15.75">
      <c r="A7" s="292" t="s">
        <v>60</v>
      </c>
      <c r="B7" s="301" t="str">
        <f>IF('Fixed Curtain Officr Copy'!P23="","",'Fixed Curtain Officr Copy'!P23)</f>
        <v/>
      </c>
    </row>
    <row r="8" spans="1:6" ht="20.25">
      <c r="A8" s="266" t="s">
        <v>66</v>
      </c>
      <c r="B8" s="313"/>
    </row>
    <row r="9" spans="1:6" ht="15.75">
      <c r="A9" s="292" t="s">
        <v>66</v>
      </c>
      <c r="B9" s="23" t="str">
        <f>IF('Fixed Curtain Officr Copy'!R18="","",'Fixed Curtain Officr Copy'!R18)</f>
        <v/>
      </c>
    </row>
    <row r="10" spans="1:6" ht="15.75">
      <c r="A10" s="292" t="s">
        <v>173</v>
      </c>
      <c r="B10" s="314">
        <f>'Fixed Curtain Officr Copy'!R19</f>
        <v>0</v>
      </c>
    </row>
    <row r="12" spans="1:6" ht="15" thickBot="1"/>
    <row r="13" spans="1:6" ht="21" thickBot="1">
      <c r="A13" s="20" t="s">
        <v>9</v>
      </c>
      <c r="C13" s="340" t="str">
        <f>'Fixed Curtain Officr Copy'!B3</f>
        <v>FR UV PVC 20 MIL Clear</v>
      </c>
    </row>
    <row r="14" spans="1:6" ht="20.25">
      <c r="A14" s="149" t="s">
        <v>34</v>
      </c>
      <c r="B14" s="150" t="s">
        <v>0</v>
      </c>
      <c r="C14" s="150" t="s">
        <v>1</v>
      </c>
      <c r="D14" s="150" t="s">
        <v>2</v>
      </c>
      <c r="E14" s="150" t="s">
        <v>200</v>
      </c>
      <c r="F14" s="174" t="s">
        <v>231</v>
      </c>
    </row>
    <row r="15" spans="1:6">
      <c r="A15" s="153" t="s">
        <v>84</v>
      </c>
      <c r="B15" s="268">
        <f>'Fixed Curtain Officr Copy'!B5</f>
        <v>0</v>
      </c>
      <c r="C15" s="268">
        <f>'Fixed Curtain Officr Copy'!C5</f>
        <v>0</v>
      </c>
      <c r="D15" s="122">
        <f>'Fixed Curtain Officr Copy'!D5</f>
        <v>0</v>
      </c>
      <c r="E15" s="122" t="s">
        <v>19</v>
      </c>
      <c r="F15" s="341" t="e">
        <f ca="1">'Fixed Curtain Officr Copy'!K5</f>
        <v>#NAME?</v>
      </c>
    </row>
    <row r="16" spans="1:6">
      <c r="A16" s="153" t="s">
        <v>10</v>
      </c>
      <c r="B16" s="268">
        <f>'Fixed Curtain Officr Copy'!B6</f>
        <v>0</v>
      </c>
      <c r="C16" s="268">
        <f>'Fixed Curtain Officr Copy'!C6</f>
        <v>0</v>
      </c>
      <c r="D16" s="122">
        <f>'Fixed Curtain Officr Copy'!D6</f>
        <v>0</v>
      </c>
      <c r="E16" s="122" t="s">
        <v>19</v>
      </c>
      <c r="F16" s="341" t="e">
        <f ca="1">'Fixed Curtain Officr Copy'!K6</f>
        <v>#NAME?</v>
      </c>
    </row>
    <row r="17" spans="1:6" ht="20.25">
      <c r="A17" s="342" t="s">
        <v>35</v>
      </c>
      <c r="B17" s="269" t="str">
        <f>'Fixed Curtain Officr Copy'!B7</f>
        <v>~</v>
      </c>
      <c r="C17" s="267" t="s">
        <v>22</v>
      </c>
      <c r="D17" s="267" t="s">
        <v>22</v>
      </c>
      <c r="E17" s="271" t="s">
        <v>22</v>
      </c>
      <c r="F17" s="343" t="str">
        <f>'Fixed Curtain Officr Copy'!K7</f>
        <v>~</v>
      </c>
    </row>
    <row r="18" spans="1:6">
      <c r="A18" s="153" t="s">
        <v>90</v>
      </c>
      <c r="B18" s="268">
        <f>'Fixed Curtain Officr Copy'!B8</f>
        <v>0</v>
      </c>
      <c r="C18" s="268" t="str">
        <f>'Fixed Curtain Officr Copy'!C8</f>
        <v>N/A</v>
      </c>
      <c r="D18" s="268">
        <f>'Fixed Curtain Officr Copy'!D8</f>
        <v>0</v>
      </c>
      <c r="E18" s="122" t="s">
        <v>42</v>
      </c>
      <c r="F18" s="341">
        <f>'Fixed Curtain Officr Copy'!K8</f>
        <v>0</v>
      </c>
    </row>
    <row r="19" spans="1:6">
      <c r="A19" s="153" t="s">
        <v>16</v>
      </c>
      <c r="B19" s="268" t="str">
        <f>'Fixed Curtain Officr Copy'!B9</f>
        <v>None</v>
      </c>
      <c r="C19" s="268" t="str">
        <f>'Fixed Curtain Officr Copy'!C9</f>
        <v>None</v>
      </c>
      <c r="D19" s="268">
        <f>'Fixed Curtain Officr Copy'!D9</f>
        <v>0</v>
      </c>
      <c r="E19" s="117" t="s">
        <v>20</v>
      </c>
      <c r="F19" s="341">
        <f>'Fixed Curtain Officr Copy'!K9</f>
        <v>0</v>
      </c>
    </row>
    <row r="20" spans="1:6">
      <c r="A20" s="153" t="s">
        <v>17</v>
      </c>
      <c r="B20" s="268" t="str">
        <f>'Fixed Curtain Officr Copy'!B10</f>
        <v>None</v>
      </c>
      <c r="C20" s="268" t="str">
        <f>'Fixed Curtain Officr Copy'!C10</f>
        <v>N/A</v>
      </c>
      <c r="D20" s="268">
        <f>'Fixed Curtain Officr Copy'!D10</f>
        <v>0</v>
      </c>
      <c r="E20" s="117" t="s">
        <v>20</v>
      </c>
      <c r="F20" s="341">
        <f>'Fixed Curtain Officr Copy'!K10</f>
        <v>0</v>
      </c>
    </row>
    <row r="21" spans="1:6">
      <c r="A21" s="153" t="s">
        <v>18</v>
      </c>
      <c r="B21" s="268" t="str">
        <f>'Fixed Curtain Officr Copy'!B11</f>
        <v>None</v>
      </c>
      <c r="C21" s="268" t="str">
        <f>'Fixed Curtain Officr Copy'!C11</f>
        <v>None</v>
      </c>
      <c r="D21" s="268">
        <f>'Fixed Curtain Officr Copy'!D11</f>
        <v>0</v>
      </c>
      <c r="E21" s="117" t="s">
        <v>20</v>
      </c>
      <c r="F21" s="341">
        <f>'Fixed Curtain Officr Copy'!K11</f>
        <v>0</v>
      </c>
    </row>
    <row r="22" spans="1:6">
      <c r="A22" s="153" t="s">
        <v>227</v>
      </c>
      <c r="B22" s="268">
        <f>'Fixed Curtain Officr Copy'!B12</f>
        <v>0</v>
      </c>
      <c r="C22" s="268" t="str">
        <f>'Fixed Curtain Officr Copy'!C12</f>
        <v>N/A</v>
      </c>
      <c r="D22" s="268">
        <f>'Fixed Curtain Officr Copy'!D12</f>
        <v>0</v>
      </c>
      <c r="E22" s="117" t="s">
        <v>21</v>
      </c>
      <c r="F22" s="341">
        <f>'Fixed Curtain Officr Copy'!K12</f>
        <v>0</v>
      </c>
    </row>
    <row r="23" spans="1:6">
      <c r="A23" s="153" t="s">
        <v>156</v>
      </c>
      <c r="B23" s="268" t="str">
        <f>'Fixed Curtain Officr Copy'!B13</f>
        <v>No</v>
      </c>
      <c r="C23" s="268" t="str">
        <f>'Fixed Curtain Officr Copy'!C13</f>
        <v>N/A</v>
      </c>
      <c r="D23" s="268">
        <f>'Fixed Curtain Officr Copy'!D13</f>
        <v>0</v>
      </c>
      <c r="E23" s="117" t="s">
        <v>21</v>
      </c>
      <c r="F23" s="341">
        <f>'Fixed Curtain Officr Copy'!K13</f>
        <v>0</v>
      </c>
    </row>
    <row r="24" spans="1:6">
      <c r="A24" s="153" t="s">
        <v>43</v>
      </c>
      <c r="B24" s="268" t="str">
        <f>'Fixed Curtain Officr Copy'!B14</f>
        <v>None</v>
      </c>
      <c r="C24" s="268" t="str">
        <f>'Fixed Curtain Officr Copy'!C14</f>
        <v>None</v>
      </c>
      <c r="D24" s="268">
        <f>'Fixed Curtain Officr Copy'!D14</f>
        <v>0</v>
      </c>
      <c r="E24" s="117" t="s">
        <v>20</v>
      </c>
      <c r="F24" s="341">
        <f>'Fixed Curtain Officr Copy'!K14</f>
        <v>0</v>
      </c>
    </row>
    <row r="25" spans="1:6">
      <c r="A25" s="153" t="s">
        <v>216</v>
      </c>
      <c r="B25" s="268" t="str">
        <f>'Fixed Curtain Officr Copy'!B15</f>
        <v>No</v>
      </c>
      <c r="C25" s="268" t="str">
        <f>'Fixed Curtain Officr Copy'!C15</f>
        <v>None</v>
      </c>
      <c r="D25" s="268">
        <f>'Fixed Curtain Officr Copy'!D15</f>
        <v>0</v>
      </c>
      <c r="E25" s="117" t="s">
        <v>20</v>
      </c>
      <c r="F25" s="341">
        <f>'Fixed Curtain Officr Copy'!K15</f>
        <v>0</v>
      </c>
    </row>
    <row r="26" spans="1:6">
      <c r="A26" s="153" t="s">
        <v>217</v>
      </c>
      <c r="B26" s="268" t="str">
        <f>'Fixed Curtain Officr Copy'!B16</f>
        <v>No</v>
      </c>
      <c r="C26" s="268" t="str">
        <f>'Fixed Curtain Officr Copy'!C16</f>
        <v>N/A</v>
      </c>
      <c r="D26" s="268">
        <f>'Fixed Curtain Officr Copy'!D16</f>
        <v>0</v>
      </c>
      <c r="E26" s="117" t="s">
        <v>20</v>
      </c>
      <c r="F26" s="341">
        <f>'Fixed Curtain Officr Copy'!K16</f>
        <v>0</v>
      </c>
    </row>
    <row r="27" spans="1:6">
      <c r="A27" s="153" t="s">
        <v>218</v>
      </c>
      <c r="B27" s="268">
        <f>'Fixed Curtain Officr Copy'!B17</f>
        <v>0</v>
      </c>
      <c r="C27" s="268" t="str">
        <f>'Fixed Curtain Officr Copy'!C17</f>
        <v>N/A</v>
      </c>
      <c r="D27" s="268">
        <f>'Fixed Curtain Officr Copy'!D17</f>
        <v>0</v>
      </c>
      <c r="E27" s="117" t="s">
        <v>20</v>
      </c>
      <c r="F27" s="341">
        <f>'Fixed Curtain Officr Copy'!K17</f>
        <v>0</v>
      </c>
    </row>
    <row r="28" spans="1:6" ht="15" thickBot="1">
      <c r="A28" s="95" t="s">
        <v>93</v>
      </c>
      <c r="B28" s="283" t="str">
        <f>'Fixed Curtain Officr Copy'!B18</f>
        <v>N/A</v>
      </c>
      <c r="C28" s="283" t="str">
        <f>'Fixed Curtain Officr Copy'!C18</f>
        <v>N/A</v>
      </c>
      <c r="D28" s="283" t="str">
        <f>'Fixed Curtain Officr Copy'!D18</f>
        <v>N/A</v>
      </c>
      <c r="E28" s="337" t="s">
        <v>21</v>
      </c>
      <c r="F28" s="344">
        <f>'Fixed Curtain Officr Copy'!K18</f>
        <v>0</v>
      </c>
    </row>
    <row r="29" spans="1:6" ht="18.75" thickBot="1">
      <c r="A29" s="370"/>
      <c r="B29" s="372"/>
      <c r="C29" s="338" t="s">
        <v>186</v>
      </c>
      <c r="D29" s="339">
        <f>'Fixed Curtain Officr Copy'!D19</f>
        <v>0</v>
      </c>
      <c r="E29" s="338" t="s">
        <v>228</v>
      </c>
      <c r="F29" s="352" t="e">
        <f ca="1">'Fixed Curtain Officr Copy'!B19</f>
        <v>#NAME?</v>
      </c>
    </row>
    <row r="30" spans="1:6">
      <c r="C30" s="133"/>
      <c r="D30" s="133"/>
      <c r="E30" s="132"/>
      <c r="F30" s="133"/>
    </row>
    <row r="31" spans="1:6" ht="15" thickBot="1">
      <c r="A31" s="133"/>
      <c r="B31" s="135"/>
      <c r="C31" s="133"/>
      <c r="D31" s="136"/>
      <c r="E31" s="132"/>
      <c r="F31" s="133"/>
    </row>
    <row r="32" spans="1:6" ht="21" thickBot="1">
      <c r="A32" s="20" t="s">
        <v>11</v>
      </c>
      <c r="B32" s="132"/>
      <c r="C32" s="340" t="str">
        <f>'Fixed Curtain Officr Copy'!B23</f>
        <v>MATERIAL</v>
      </c>
      <c r="D32" s="132"/>
      <c r="E32" s="132"/>
      <c r="F32" s="132"/>
    </row>
    <row r="33" spans="1:6" ht="20.25">
      <c r="A33" s="149" t="s">
        <v>34</v>
      </c>
      <c r="B33" s="150" t="s">
        <v>0</v>
      </c>
      <c r="C33" s="150" t="s">
        <v>1</v>
      </c>
      <c r="D33" s="150" t="s">
        <v>2</v>
      </c>
      <c r="E33" s="150" t="s">
        <v>200</v>
      </c>
      <c r="F33" s="174" t="s">
        <v>231</v>
      </c>
    </row>
    <row r="34" spans="1:6">
      <c r="A34" s="153" t="s">
        <v>85</v>
      </c>
      <c r="B34" s="268">
        <f>'Fixed Curtain Officr Copy'!B25</f>
        <v>0</v>
      </c>
      <c r="C34" s="268">
        <f>'Fixed Curtain Officr Copy'!C25</f>
        <v>0</v>
      </c>
      <c r="D34" s="268">
        <f>'Fixed Curtain Officr Copy'!D25</f>
        <v>0</v>
      </c>
      <c r="E34" s="122" t="s">
        <v>19</v>
      </c>
      <c r="F34" s="341" t="e">
        <f ca="1">'Fixed Curtain Officr Copy'!K25</f>
        <v>#NAME?</v>
      </c>
    </row>
    <row r="35" spans="1:6">
      <c r="A35" s="153" t="s">
        <v>12</v>
      </c>
      <c r="B35" s="268">
        <f>'Fixed Curtain Officr Copy'!B26</f>
        <v>0</v>
      </c>
      <c r="C35" s="268">
        <f>'Fixed Curtain Officr Copy'!C26</f>
        <v>0</v>
      </c>
      <c r="D35" s="268">
        <f>'Fixed Curtain Officr Copy'!D26</f>
        <v>0</v>
      </c>
      <c r="E35" s="122" t="s">
        <v>19</v>
      </c>
      <c r="F35" s="341" t="e">
        <f ca="1">'Fixed Curtain Officr Copy'!K26</f>
        <v>#NAME?</v>
      </c>
    </row>
    <row r="36" spans="1:6" ht="20.25">
      <c r="A36" s="342" t="s">
        <v>35</v>
      </c>
      <c r="B36" s="272" t="str">
        <f>'Fixed Curtain Officr Copy'!B27</f>
        <v>~</v>
      </c>
      <c r="C36" s="272" t="str">
        <f>'Fixed Curtain Officr Copy'!C27</f>
        <v>~</v>
      </c>
      <c r="D36" s="272" t="str">
        <f>'Fixed Curtain Officr Copy'!D27</f>
        <v>~</v>
      </c>
      <c r="E36" s="271" t="s">
        <v>22</v>
      </c>
      <c r="F36" s="343" t="str">
        <f>'Fixed Curtain Officr Copy'!K27</f>
        <v>~</v>
      </c>
    </row>
    <row r="37" spans="1:6">
      <c r="A37" s="153" t="s">
        <v>90</v>
      </c>
      <c r="B37" s="268">
        <f>'Fixed Curtain Officr Copy'!B28</f>
        <v>0</v>
      </c>
      <c r="C37" s="268" t="str">
        <f>'Fixed Curtain Officr Copy'!C28</f>
        <v>N/A</v>
      </c>
      <c r="D37" s="268">
        <f>'Fixed Curtain Officr Copy'!D28</f>
        <v>0</v>
      </c>
      <c r="E37" s="122" t="s">
        <v>42</v>
      </c>
      <c r="F37" s="341">
        <f>'Fixed Curtain Officr Copy'!K28</f>
        <v>0</v>
      </c>
    </row>
    <row r="38" spans="1:6">
      <c r="A38" s="153" t="s">
        <v>16</v>
      </c>
      <c r="B38" s="268" t="str">
        <f>'Fixed Curtain Officr Copy'!B29</f>
        <v>None</v>
      </c>
      <c r="C38" s="268" t="str">
        <f>'Fixed Curtain Officr Copy'!C29</f>
        <v>None</v>
      </c>
      <c r="D38" s="268">
        <f>'Fixed Curtain Officr Copy'!D29</f>
        <v>0</v>
      </c>
      <c r="E38" s="117" t="s">
        <v>20</v>
      </c>
      <c r="F38" s="341">
        <f>'Fixed Curtain Officr Copy'!K29</f>
        <v>0</v>
      </c>
    </row>
    <row r="39" spans="1:6">
      <c r="A39" s="153" t="s">
        <v>17</v>
      </c>
      <c r="B39" s="268" t="str">
        <f>'Fixed Curtain Officr Copy'!B30</f>
        <v>None</v>
      </c>
      <c r="C39" s="268" t="str">
        <f>'Fixed Curtain Officr Copy'!C30</f>
        <v>N/A</v>
      </c>
      <c r="D39" s="268">
        <f>'Fixed Curtain Officr Copy'!D30</f>
        <v>0</v>
      </c>
      <c r="E39" s="117" t="s">
        <v>20</v>
      </c>
      <c r="F39" s="341">
        <f>'Fixed Curtain Officr Copy'!K30</f>
        <v>0</v>
      </c>
    </row>
    <row r="40" spans="1:6">
      <c r="A40" s="153" t="s">
        <v>18</v>
      </c>
      <c r="B40" s="268" t="str">
        <f>'Fixed Curtain Officr Copy'!B31</f>
        <v>None</v>
      </c>
      <c r="C40" s="268" t="str">
        <f>'Fixed Curtain Officr Copy'!C31</f>
        <v>None</v>
      </c>
      <c r="D40" s="268">
        <f>'Fixed Curtain Officr Copy'!D31</f>
        <v>0</v>
      </c>
      <c r="E40" s="117" t="s">
        <v>20</v>
      </c>
      <c r="F40" s="341">
        <f>'Fixed Curtain Officr Copy'!K31</f>
        <v>0</v>
      </c>
    </row>
    <row r="41" spans="1:6">
      <c r="A41" s="153" t="s">
        <v>227</v>
      </c>
      <c r="B41" s="268">
        <f>'Fixed Curtain Officr Copy'!B32</f>
        <v>0</v>
      </c>
      <c r="C41" s="268" t="str">
        <f>'Fixed Curtain Officr Copy'!C32</f>
        <v>N/A</v>
      </c>
      <c r="D41" s="268">
        <f>'Fixed Curtain Officr Copy'!D32</f>
        <v>0</v>
      </c>
      <c r="E41" s="117" t="s">
        <v>21</v>
      </c>
      <c r="F41" s="341">
        <f>'Fixed Curtain Officr Copy'!K32</f>
        <v>0</v>
      </c>
    </row>
    <row r="42" spans="1:6">
      <c r="A42" s="153" t="s">
        <v>156</v>
      </c>
      <c r="B42" s="268" t="str">
        <f>'Fixed Curtain Officr Copy'!B33</f>
        <v>No</v>
      </c>
      <c r="C42" s="268" t="str">
        <f>'Fixed Curtain Officr Copy'!C33</f>
        <v>N/A</v>
      </c>
      <c r="D42" s="268">
        <f>'Fixed Curtain Officr Copy'!D33</f>
        <v>0</v>
      </c>
      <c r="E42" s="117" t="s">
        <v>21</v>
      </c>
      <c r="F42" s="341">
        <f>'Fixed Curtain Officr Copy'!K33</f>
        <v>0</v>
      </c>
    </row>
    <row r="43" spans="1:6">
      <c r="A43" s="153" t="s">
        <v>43</v>
      </c>
      <c r="B43" s="268" t="str">
        <f>'Fixed Curtain Officr Copy'!B34</f>
        <v>None</v>
      </c>
      <c r="C43" s="268" t="str">
        <f>'Fixed Curtain Officr Copy'!C34</f>
        <v>None</v>
      </c>
      <c r="D43" s="268">
        <f>'Fixed Curtain Officr Copy'!D34</f>
        <v>0</v>
      </c>
      <c r="E43" s="117" t="s">
        <v>20</v>
      </c>
      <c r="F43" s="341">
        <f>'Fixed Curtain Officr Copy'!K34</f>
        <v>0</v>
      </c>
    </row>
    <row r="44" spans="1:6">
      <c r="A44" s="153" t="s">
        <v>216</v>
      </c>
      <c r="B44" s="268" t="str">
        <f>'Fixed Curtain Officr Copy'!B35</f>
        <v>No</v>
      </c>
      <c r="C44" s="268" t="str">
        <f>'Fixed Curtain Officr Copy'!C35</f>
        <v>N/A</v>
      </c>
      <c r="D44" s="268">
        <f>'Fixed Curtain Officr Copy'!D35</f>
        <v>0</v>
      </c>
      <c r="E44" s="117" t="s">
        <v>20</v>
      </c>
      <c r="F44" s="341">
        <f>'Fixed Curtain Officr Copy'!K35</f>
        <v>0</v>
      </c>
    </row>
    <row r="45" spans="1:6">
      <c r="A45" s="153" t="s">
        <v>217</v>
      </c>
      <c r="B45" s="268" t="str">
        <f>'Fixed Curtain Officr Copy'!B36</f>
        <v>No</v>
      </c>
      <c r="C45" s="268" t="str">
        <f>'Fixed Curtain Officr Copy'!C36</f>
        <v>N/A</v>
      </c>
      <c r="D45" s="268">
        <f>'Fixed Curtain Officr Copy'!D36</f>
        <v>0</v>
      </c>
      <c r="E45" s="117" t="s">
        <v>20</v>
      </c>
      <c r="F45" s="341">
        <f>'Fixed Curtain Officr Copy'!K36</f>
        <v>0</v>
      </c>
    </row>
    <row r="46" spans="1:6">
      <c r="A46" s="153" t="s">
        <v>218</v>
      </c>
      <c r="B46" s="268">
        <f>'Fixed Curtain Officr Copy'!B37</f>
        <v>0</v>
      </c>
      <c r="C46" s="268" t="str">
        <f>'Fixed Curtain Officr Copy'!C37</f>
        <v>N/A</v>
      </c>
      <c r="D46" s="268">
        <f>'Fixed Curtain Officr Copy'!D37</f>
        <v>0</v>
      </c>
      <c r="E46" s="117" t="s">
        <v>20</v>
      </c>
      <c r="F46" s="341">
        <f>'Fixed Curtain Officr Copy'!K37</f>
        <v>0</v>
      </c>
    </row>
    <row r="47" spans="1:6" ht="15" thickBot="1">
      <c r="A47" s="153" t="s">
        <v>93</v>
      </c>
      <c r="B47" s="268" t="str">
        <f>'Fixed Curtain Officr Copy'!B38</f>
        <v>N/A</v>
      </c>
      <c r="C47" s="268" t="str">
        <f>'Fixed Curtain Officr Copy'!C38</f>
        <v>N/A</v>
      </c>
      <c r="D47" s="268" t="str">
        <f>'Fixed Curtain Officr Copy'!D38</f>
        <v>N/A</v>
      </c>
      <c r="E47" s="117" t="s">
        <v>21</v>
      </c>
      <c r="F47" s="341">
        <f>'Fixed Curtain Officr Copy'!K38</f>
        <v>0</v>
      </c>
    </row>
    <row r="48" spans="1:6" ht="18.75" thickBot="1">
      <c r="A48" s="370"/>
      <c r="B48" s="372"/>
      <c r="C48" s="338" t="s">
        <v>186</v>
      </c>
      <c r="D48" s="339">
        <f>'Fixed Curtain Officr Copy'!D39</f>
        <v>0</v>
      </c>
      <c r="E48" s="338" t="s">
        <v>228</v>
      </c>
      <c r="F48" s="352" t="e">
        <f ca="1">'Fixed Curtain Officr Copy'!B39</f>
        <v>#NAME?</v>
      </c>
    </row>
    <row r="50" spans="1:6" ht="15" thickBot="1">
      <c r="A50" s="133"/>
      <c r="B50" s="135"/>
      <c r="C50" s="133"/>
      <c r="D50" s="136"/>
      <c r="E50" s="132"/>
      <c r="F50" s="133"/>
    </row>
    <row r="51" spans="1:6" ht="21" thickBot="1">
      <c r="A51" s="20" t="s">
        <v>13</v>
      </c>
      <c r="B51" s="132"/>
      <c r="C51" s="340" t="str">
        <f>'Fixed Curtain Officr Copy'!B43</f>
        <v>MATERIAL</v>
      </c>
      <c r="D51" s="132"/>
      <c r="E51" s="132"/>
      <c r="F51" s="132"/>
    </row>
    <row r="52" spans="1:6" ht="20.25">
      <c r="A52" s="149" t="s">
        <v>34</v>
      </c>
      <c r="B52" s="150" t="s">
        <v>0</v>
      </c>
      <c r="C52" s="150" t="s">
        <v>1</v>
      </c>
      <c r="D52" s="150" t="s">
        <v>2</v>
      </c>
      <c r="E52" s="150" t="s">
        <v>200</v>
      </c>
      <c r="F52" s="174" t="s">
        <v>231</v>
      </c>
    </row>
    <row r="53" spans="1:6">
      <c r="A53" s="153" t="s">
        <v>88</v>
      </c>
      <c r="B53" s="268">
        <f>'Fixed Curtain Officr Copy'!B45</f>
        <v>0</v>
      </c>
      <c r="C53" s="268">
        <f>'Fixed Curtain Officr Copy'!C45</f>
        <v>0</v>
      </c>
      <c r="D53" s="268">
        <f>'Fixed Curtain Officr Copy'!D45</f>
        <v>0</v>
      </c>
      <c r="E53" s="122" t="s">
        <v>19</v>
      </c>
      <c r="F53" s="341" t="e">
        <f ca="1">'Fixed Curtain Officr Copy'!K45</f>
        <v>#NAME?</v>
      </c>
    </row>
    <row r="54" spans="1:6">
      <c r="A54" s="153" t="s">
        <v>172</v>
      </c>
      <c r="B54" s="268">
        <f>'Fixed Curtain Officr Copy'!B46</f>
        <v>0</v>
      </c>
      <c r="C54" s="268">
        <f>'Fixed Curtain Officr Copy'!C46</f>
        <v>0</v>
      </c>
      <c r="D54" s="268">
        <f>'Fixed Curtain Officr Copy'!D46</f>
        <v>0</v>
      </c>
      <c r="E54" s="122" t="s">
        <v>19</v>
      </c>
      <c r="F54" s="341" t="e">
        <f ca="1">'Fixed Curtain Officr Copy'!K46</f>
        <v>#NAME?</v>
      </c>
    </row>
    <row r="55" spans="1:6" ht="20.25">
      <c r="A55" s="342" t="s">
        <v>35</v>
      </c>
      <c r="B55" s="272" t="str">
        <f>'Fixed Curtain Officr Copy'!B47</f>
        <v>~</v>
      </c>
      <c r="C55" s="272" t="str">
        <f>'Fixed Curtain Officr Copy'!C47</f>
        <v>~</v>
      </c>
      <c r="D55" s="272" t="str">
        <f>'Fixed Curtain Officr Copy'!D47</f>
        <v>~</v>
      </c>
      <c r="E55" s="267" t="s">
        <v>22</v>
      </c>
      <c r="F55" s="343" t="str">
        <f>'Fixed Curtain Officr Copy'!K47</f>
        <v>~</v>
      </c>
    </row>
    <row r="56" spans="1:6">
      <c r="A56" s="153" t="s">
        <v>90</v>
      </c>
      <c r="B56" s="268">
        <f>'Fixed Curtain Officr Copy'!B48</f>
        <v>0</v>
      </c>
      <c r="C56" s="268" t="str">
        <f>'Fixed Curtain Officr Copy'!C48</f>
        <v>N/A</v>
      </c>
      <c r="D56" s="268">
        <f>'Fixed Curtain Officr Copy'!D48</f>
        <v>0</v>
      </c>
      <c r="E56" s="122" t="s">
        <v>42</v>
      </c>
      <c r="F56" s="341">
        <f>'Fixed Curtain Officr Copy'!K48</f>
        <v>0</v>
      </c>
    </row>
    <row r="57" spans="1:6">
      <c r="A57" s="153" t="s">
        <v>16</v>
      </c>
      <c r="B57" s="268" t="str">
        <f>'Fixed Curtain Officr Copy'!B49</f>
        <v>None</v>
      </c>
      <c r="C57" s="268" t="str">
        <f>'Fixed Curtain Officr Copy'!C49</f>
        <v>None</v>
      </c>
      <c r="D57" s="268">
        <f>'Fixed Curtain Officr Copy'!D49</f>
        <v>0</v>
      </c>
      <c r="E57" s="117" t="s">
        <v>20</v>
      </c>
      <c r="F57" s="341">
        <f>'Fixed Curtain Officr Copy'!K49</f>
        <v>0</v>
      </c>
    </row>
    <row r="58" spans="1:6">
      <c r="A58" s="153" t="s">
        <v>17</v>
      </c>
      <c r="B58" s="268" t="str">
        <f>'Fixed Curtain Officr Copy'!B50</f>
        <v>None</v>
      </c>
      <c r="C58" s="268" t="str">
        <f>'Fixed Curtain Officr Copy'!C50</f>
        <v>N/A</v>
      </c>
      <c r="D58" s="268">
        <f>'Fixed Curtain Officr Copy'!D50</f>
        <v>0</v>
      </c>
      <c r="E58" s="117" t="s">
        <v>20</v>
      </c>
      <c r="F58" s="341">
        <f>'Fixed Curtain Officr Copy'!K50</f>
        <v>0</v>
      </c>
    </row>
    <row r="59" spans="1:6">
      <c r="A59" s="153" t="s">
        <v>18</v>
      </c>
      <c r="B59" s="268" t="str">
        <f>'Fixed Curtain Officr Copy'!B51</f>
        <v>None</v>
      </c>
      <c r="C59" s="268" t="str">
        <f>'Fixed Curtain Officr Copy'!C51</f>
        <v>None</v>
      </c>
      <c r="D59" s="268">
        <f>'Fixed Curtain Officr Copy'!D51</f>
        <v>0</v>
      </c>
      <c r="E59" s="117" t="s">
        <v>20</v>
      </c>
      <c r="F59" s="341">
        <f>'Fixed Curtain Officr Copy'!K51</f>
        <v>0</v>
      </c>
    </row>
    <row r="60" spans="1:6">
      <c r="A60" s="153" t="s">
        <v>227</v>
      </c>
      <c r="B60" s="268">
        <f>'Fixed Curtain Officr Copy'!B52</f>
        <v>0</v>
      </c>
      <c r="C60" s="268" t="str">
        <f>'Fixed Curtain Officr Copy'!C52</f>
        <v>N/A</v>
      </c>
      <c r="D60" s="268">
        <f>'Fixed Curtain Officr Copy'!D52</f>
        <v>0</v>
      </c>
      <c r="E60" s="117" t="s">
        <v>21</v>
      </c>
      <c r="F60" s="341">
        <f>'Fixed Curtain Officr Copy'!K52</f>
        <v>0</v>
      </c>
    </row>
    <row r="61" spans="1:6">
      <c r="A61" s="153" t="s">
        <v>156</v>
      </c>
      <c r="B61" s="268" t="str">
        <f>'Fixed Curtain Officr Copy'!B53</f>
        <v>No</v>
      </c>
      <c r="C61" s="268" t="str">
        <f>'Fixed Curtain Officr Copy'!C53</f>
        <v>N/A</v>
      </c>
      <c r="D61" s="268">
        <f>'Fixed Curtain Officr Copy'!D53</f>
        <v>0</v>
      </c>
      <c r="E61" s="117" t="s">
        <v>21</v>
      </c>
      <c r="F61" s="341">
        <f>'Fixed Curtain Officr Copy'!K53</f>
        <v>0</v>
      </c>
    </row>
    <row r="62" spans="1:6">
      <c r="A62" s="153" t="s">
        <v>43</v>
      </c>
      <c r="B62" s="268" t="str">
        <f>'Fixed Curtain Officr Copy'!B54</f>
        <v>None</v>
      </c>
      <c r="C62" s="268" t="str">
        <f>'Fixed Curtain Officr Copy'!C54</f>
        <v>None</v>
      </c>
      <c r="D62" s="268">
        <f>'Fixed Curtain Officr Copy'!D54</f>
        <v>0</v>
      </c>
      <c r="E62" s="117" t="s">
        <v>20</v>
      </c>
      <c r="F62" s="341">
        <f>'Fixed Curtain Officr Copy'!K54</f>
        <v>0</v>
      </c>
    </row>
    <row r="63" spans="1:6">
      <c r="A63" s="153" t="s">
        <v>216</v>
      </c>
      <c r="B63" s="268" t="str">
        <f>'Fixed Curtain Officr Copy'!B55</f>
        <v>No</v>
      </c>
      <c r="C63" s="268" t="str">
        <f>'Fixed Curtain Officr Copy'!C55</f>
        <v>N/A</v>
      </c>
      <c r="D63" s="268">
        <f>'Fixed Curtain Officr Copy'!D55</f>
        <v>0</v>
      </c>
      <c r="E63" s="117" t="s">
        <v>20</v>
      </c>
      <c r="F63" s="341">
        <f>'Fixed Curtain Officr Copy'!K55</f>
        <v>0</v>
      </c>
    </row>
    <row r="64" spans="1:6">
      <c r="A64" s="153" t="s">
        <v>217</v>
      </c>
      <c r="B64" s="268" t="str">
        <f>'Fixed Curtain Officr Copy'!B56</f>
        <v>No</v>
      </c>
      <c r="C64" s="268" t="str">
        <f>'Fixed Curtain Officr Copy'!C56</f>
        <v>N/A</v>
      </c>
      <c r="D64" s="268">
        <f>'Fixed Curtain Officr Copy'!D56</f>
        <v>0</v>
      </c>
      <c r="E64" s="117" t="s">
        <v>20</v>
      </c>
      <c r="F64" s="341">
        <f>'Fixed Curtain Officr Copy'!K56</f>
        <v>0</v>
      </c>
    </row>
    <row r="65" spans="1:6">
      <c r="A65" s="153" t="s">
        <v>218</v>
      </c>
      <c r="B65" s="268">
        <f>'Fixed Curtain Officr Copy'!B57</f>
        <v>0</v>
      </c>
      <c r="C65" s="268" t="str">
        <f>'Fixed Curtain Officr Copy'!C57</f>
        <v>N/A</v>
      </c>
      <c r="D65" s="268">
        <f>'Fixed Curtain Officr Copy'!D57</f>
        <v>0</v>
      </c>
      <c r="E65" s="117" t="s">
        <v>20</v>
      </c>
      <c r="F65" s="341">
        <f>'Fixed Curtain Officr Copy'!K57</f>
        <v>0</v>
      </c>
    </row>
    <row r="66" spans="1:6" ht="15" thickBot="1">
      <c r="A66" s="153" t="s">
        <v>93</v>
      </c>
      <c r="B66" s="268" t="str">
        <f>'Fixed Curtain Officr Copy'!B58</f>
        <v>N/A</v>
      </c>
      <c r="C66" s="268" t="str">
        <f>'Fixed Curtain Officr Copy'!C58</f>
        <v>N/A</v>
      </c>
      <c r="D66" s="268" t="str">
        <f>'Fixed Curtain Officr Copy'!D58</f>
        <v>N/A</v>
      </c>
      <c r="E66" s="117" t="s">
        <v>21</v>
      </c>
      <c r="F66" s="341">
        <f>'Fixed Curtain Officr Copy'!K58</f>
        <v>0</v>
      </c>
    </row>
    <row r="67" spans="1:6" ht="18.75" thickBot="1">
      <c r="A67" s="370"/>
      <c r="B67" s="372"/>
      <c r="C67" s="338" t="s">
        <v>186</v>
      </c>
      <c r="D67" s="339">
        <f>'Fixed Curtain Officr Copy'!D59</f>
        <v>0</v>
      </c>
      <c r="E67" s="338" t="s">
        <v>228</v>
      </c>
      <c r="F67" s="352" t="e">
        <f ca="1">'Fixed Curtain Officr Copy'!B59</f>
        <v>#NAME?</v>
      </c>
    </row>
    <row r="68" spans="1:6">
      <c r="C68" s="133"/>
      <c r="D68" s="133"/>
      <c r="E68" s="132"/>
      <c r="F68" s="133"/>
    </row>
    <row r="69" spans="1:6">
      <c r="C69" s="133"/>
      <c r="D69" s="133"/>
      <c r="E69" s="132"/>
      <c r="F69" s="133"/>
    </row>
    <row r="70" spans="1:6" ht="15" thickBot="1">
      <c r="A70" s="133"/>
      <c r="B70" s="135"/>
      <c r="C70" s="133"/>
      <c r="D70" s="136"/>
      <c r="E70" s="132"/>
      <c r="F70" s="133"/>
    </row>
    <row r="71" spans="1:6" ht="21" thickBot="1">
      <c r="A71" s="20" t="s">
        <v>14</v>
      </c>
      <c r="B71" s="132"/>
      <c r="C71" s="340" t="str">
        <f>'Fixed Curtain Officr Copy'!B63</f>
        <v>MATERIAL</v>
      </c>
      <c r="D71" s="132"/>
      <c r="E71" s="132"/>
      <c r="F71" s="132"/>
    </row>
    <row r="72" spans="1:6" ht="20.25">
      <c r="A72" s="149" t="s">
        <v>34</v>
      </c>
      <c r="B72" s="150" t="s">
        <v>0</v>
      </c>
      <c r="C72" s="150" t="s">
        <v>1</v>
      </c>
      <c r="D72" s="150" t="s">
        <v>2</v>
      </c>
      <c r="E72" s="150" t="s">
        <v>200</v>
      </c>
      <c r="F72" s="174" t="s">
        <v>231</v>
      </c>
    </row>
    <row r="73" spans="1:6">
      <c r="A73" s="153" t="s">
        <v>87</v>
      </c>
      <c r="B73" s="275">
        <f>'Fixed Curtain Officr Copy'!B65</f>
        <v>0</v>
      </c>
      <c r="C73" s="275">
        <f>'Fixed Curtain Officr Copy'!C65</f>
        <v>0</v>
      </c>
      <c r="D73" s="275">
        <f>'Fixed Curtain Officr Copy'!D65</f>
        <v>0</v>
      </c>
      <c r="E73" s="122" t="s">
        <v>19</v>
      </c>
      <c r="F73" s="341" t="e">
        <f ca="1">'Fixed Curtain Officr Copy'!K65</f>
        <v>#NAME?</v>
      </c>
    </row>
    <row r="74" spans="1:6">
      <c r="A74" s="153" t="s">
        <v>15</v>
      </c>
      <c r="B74" s="275">
        <f>'Fixed Curtain Officr Copy'!B66</f>
        <v>0</v>
      </c>
      <c r="C74" s="275">
        <f>'Fixed Curtain Officr Copy'!C66</f>
        <v>0</v>
      </c>
      <c r="D74" s="275">
        <f>'Fixed Curtain Officr Copy'!D66</f>
        <v>0</v>
      </c>
      <c r="E74" s="122" t="s">
        <v>19</v>
      </c>
      <c r="F74" s="341" t="e">
        <f ca="1">'Fixed Curtain Officr Copy'!K66</f>
        <v>#NAME?</v>
      </c>
    </row>
    <row r="75" spans="1:6" ht="20.25">
      <c r="A75" s="342" t="s">
        <v>35</v>
      </c>
      <c r="B75" s="274">
        <f>'Fixed Curtain Officr Copy'!B67</f>
        <v>0</v>
      </c>
      <c r="C75" s="274">
        <f>'Fixed Curtain Officr Copy'!C67</f>
        <v>0</v>
      </c>
      <c r="D75" s="274" t="str">
        <f>'Fixed Curtain Officr Copy'!D67</f>
        <v>~</v>
      </c>
      <c r="E75" s="271" t="s">
        <v>22</v>
      </c>
      <c r="F75" s="343" t="str">
        <f>'Fixed Curtain Officr Copy'!K67</f>
        <v>~</v>
      </c>
    </row>
    <row r="76" spans="1:6">
      <c r="A76" s="153" t="s">
        <v>90</v>
      </c>
      <c r="B76" s="268">
        <f>'Fixed Curtain Officr Copy'!B68</f>
        <v>0</v>
      </c>
      <c r="C76" s="268" t="str">
        <f>'Fixed Curtain Officr Copy'!C68</f>
        <v>N/A</v>
      </c>
      <c r="D76" s="268">
        <f>'Fixed Curtain Officr Copy'!D68</f>
        <v>0</v>
      </c>
      <c r="E76" s="122" t="s">
        <v>42</v>
      </c>
      <c r="F76" s="341">
        <f>'Fixed Curtain Officr Copy'!K68</f>
        <v>0</v>
      </c>
    </row>
    <row r="77" spans="1:6">
      <c r="A77" s="153" t="s">
        <v>16</v>
      </c>
      <c r="B77" s="268" t="str">
        <f>'Fixed Curtain Officr Copy'!B69</f>
        <v>None</v>
      </c>
      <c r="C77" s="268" t="str">
        <f>'Fixed Curtain Officr Copy'!C69</f>
        <v>None</v>
      </c>
      <c r="D77" s="268">
        <f>'Fixed Curtain Officr Copy'!D69</f>
        <v>0</v>
      </c>
      <c r="E77" s="117" t="s">
        <v>20</v>
      </c>
      <c r="F77" s="341">
        <f>'Fixed Curtain Officr Copy'!K69</f>
        <v>0</v>
      </c>
    </row>
    <row r="78" spans="1:6">
      <c r="A78" s="153" t="s">
        <v>17</v>
      </c>
      <c r="B78" s="268" t="str">
        <f>'Fixed Curtain Officr Copy'!B70</f>
        <v>None</v>
      </c>
      <c r="C78" s="268" t="str">
        <f>'Fixed Curtain Officr Copy'!C70</f>
        <v>N/A</v>
      </c>
      <c r="D78" s="268">
        <f>'Fixed Curtain Officr Copy'!D70</f>
        <v>0</v>
      </c>
      <c r="E78" s="117" t="s">
        <v>20</v>
      </c>
      <c r="F78" s="341">
        <f>'Fixed Curtain Officr Copy'!K70</f>
        <v>0</v>
      </c>
    </row>
    <row r="79" spans="1:6">
      <c r="A79" s="153" t="s">
        <v>18</v>
      </c>
      <c r="B79" s="268" t="str">
        <f>'Fixed Curtain Officr Copy'!B71</f>
        <v>None</v>
      </c>
      <c r="C79" s="268" t="str">
        <f>'Fixed Curtain Officr Copy'!C71</f>
        <v>None</v>
      </c>
      <c r="D79" s="268">
        <f>'Fixed Curtain Officr Copy'!D71</f>
        <v>0</v>
      </c>
      <c r="E79" s="117" t="s">
        <v>20</v>
      </c>
      <c r="F79" s="341">
        <f>'Fixed Curtain Officr Copy'!K71</f>
        <v>0</v>
      </c>
    </row>
    <row r="80" spans="1:6">
      <c r="A80" s="153" t="s">
        <v>227</v>
      </c>
      <c r="B80" s="268">
        <f>'Fixed Curtain Officr Copy'!B72</f>
        <v>0</v>
      </c>
      <c r="C80" s="268" t="str">
        <f>'Fixed Curtain Officr Copy'!C72</f>
        <v>N/A</v>
      </c>
      <c r="D80" s="268">
        <f>'Fixed Curtain Officr Copy'!D72</f>
        <v>0</v>
      </c>
      <c r="E80" s="117" t="s">
        <v>21</v>
      </c>
      <c r="F80" s="341">
        <f>'Fixed Curtain Officr Copy'!K72</f>
        <v>0</v>
      </c>
    </row>
    <row r="81" spans="1:6">
      <c r="A81" s="153" t="s">
        <v>156</v>
      </c>
      <c r="B81" s="268" t="str">
        <f>'Fixed Curtain Officr Copy'!B73</f>
        <v>No</v>
      </c>
      <c r="C81" s="268" t="str">
        <f>'Fixed Curtain Officr Copy'!C73</f>
        <v>N/A</v>
      </c>
      <c r="D81" s="268">
        <f>'Fixed Curtain Officr Copy'!D73</f>
        <v>0</v>
      </c>
      <c r="E81" s="117" t="s">
        <v>21</v>
      </c>
      <c r="F81" s="341">
        <f>'Fixed Curtain Officr Copy'!K73</f>
        <v>0</v>
      </c>
    </row>
    <row r="82" spans="1:6">
      <c r="A82" s="153" t="s">
        <v>43</v>
      </c>
      <c r="B82" s="268" t="str">
        <f>'Fixed Curtain Officr Copy'!B74</f>
        <v>None</v>
      </c>
      <c r="C82" s="268" t="str">
        <f>'Fixed Curtain Officr Copy'!C74</f>
        <v>None</v>
      </c>
      <c r="D82" s="268">
        <f>'Fixed Curtain Officr Copy'!D74</f>
        <v>0</v>
      </c>
      <c r="E82" s="117" t="s">
        <v>20</v>
      </c>
      <c r="F82" s="341">
        <f>'Fixed Curtain Officr Copy'!K74</f>
        <v>0</v>
      </c>
    </row>
    <row r="83" spans="1:6">
      <c r="A83" s="153" t="s">
        <v>216</v>
      </c>
      <c r="B83" s="268" t="str">
        <f>'Fixed Curtain Officr Copy'!B75</f>
        <v>No</v>
      </c>
      <c r="C83" s="268" t="str">
        <f>'Fixed Curtain Officr Copy'!C75</f>
        <v>N/A</v>
      </c>
      <c r="D83" s="268">
        <f>'Fixed Curtain Officr Copy'!D75</f>
        <v>0</v>
      </c>
      <c r="E83" s="117" t="s">
        <v>20</v>
      </c>
      <c r="F83" s="341">
        <f>'Fixed Curtain Officr Copy'!K75</f>
        <v>0</v>
      </c>
    </row>
    <row r="84" spans="1:6">
      <c r="A84" s="153" t="s">
        <v>217</v>
      </c>
      <c r="B84" s="268" t="str">
        <f>'Fixed Curtain Officr Copy'!B76</f>
        <v>No</v>
      </c>
      <c r="C84" s="268" t="str">
        <f>'Fixed Curtain Officr Copy'!C76</f>
        <v>N/A</v>
      </c>
      <c r="D84" s="268">
        <f>'Fixed Curtain Officr Copy'!D76</f>
        <v>0</v>
      </c>
      <c r="E84" s="117" t="s">
        <v>20</v>
      </c>
      <c r="F84" s="341">
        <f>'Fixed Curtain Officr Copy'!K76</f>
        <v>0</v>
      </c>
    </row>
    <row r="85" spans="1:6">
      <c r="A85" s="153" t="s">
        <v>218</v>
      </c>
      <c r="B85" s="268">
        <f>'Fixed Curtain Officr Copy'!B77</f>
        <v>0</v>
      </c>
      <c r="C85" s="268" t="str">
        <f>'Fixed Curtain Officr Copy'!C77</f>
        <v>N/A</v>
      </c>
      <c r="D85" s="268">
        <f>'Fixed Curtain Officr Copy'!D77</f>
        <v>0</v>
      </c>
      <c r="E85" s="117" t="s">
        <v>20</v>
      </c>
      <c r="F85" s="341">
        <f>'Fixed Curtain Officr Copy'!K77</f>
        <v>0</v>
      </c>
    </row>
    <row r="86" spans="1:6" ht="15" thickBot="1">
      <c r="A86" s="153" t="s">
        <v>93</v>
      </c>
      <c r="B86" s="268" t="str">
        <f>'Fixed Curtain Officr Copy'!B78</f>
        <v>N/A</v>
      </c>
      <c r="C86" s="268" t="str">
        <f>'Fixed Curtain Officr Copy'!C78</f>
        <v>N/A</v>
      </c>
      <c r="D86" s="268" t="str">
        <f>'Fixed Curtain Officr Copy'!D78</f>
        <v>N/A</v>
      </c>
      <c r="E86" s="117" t="s">
        <v>21</v>
      </c>
      <c r="F86" s="341">
        <f>'Fixed Curtain Officr Copy'!K78</f>
        <v>0</v>
      </c>
    </row>
    <row r="87" spans="1:6" ht="18.75" thickBot="1">
      <c r="A87" s="370"/>
      <c r="B87" s="372"/>
      <c r="C87" s="338" t="s">
        <v>186</v>
      </c>
      <c r="D87" s="339">
        <f>'Fixed Curtain Officr Copy'!D79</f>
        <v>0</v>
      </c>
      <c r="E87" s="338" t="s">
        <v>228</v>
      </c>
      <c r="F87" s="352" t="e">
        <f ca="1">'Fixed Curtain Officr Copy'!B79</f>
        <v>#NAME?</v>
      </c>
    </row>
    <row r="88" spans="1:6">
      <c r="C88" s="133"/>
      <c r="D88" s="133"/>
      <c r="E88" s="132"/>
      <c r="F88" s="133"/>
    </row>
    <row r="89" spans="1:6" ht="15" thickBot="1">
      <c r="A89" s="133"/>
      <c r="B89" s="133"/>
      <c r="C89" s="133"/>
      <c r="D89" s="133"/>
      <c r="E89" s="133"/>
      <c r="F89" s="133"/>
    </row>
    <row r="90" spans="1:6" ht="21" thickBot="1">
      <c r="A90" s="20" t="s">
        <v>62</v>
      </c>
      <c r="B90" s="132"/>
      <c r="C90" s="340" t="str">
        <f>'Fixed Curtain Officr Copy'!B83</f>
        <v>MATERIAL</v>
      </c>
      <c r="D90" s="132"/>
      <c r="E90" s="132"/>
      <c r="F90" s="132"/>
    </row>
    <row r="91" spans="1:6" ht="20.25">
      <c r="A91" s="290" t="s">
        <v>34</v>
      </c>
      <c r="B91" s="265" t="s">
        <v>0</v>
      </c>
      <c r="C91" s="265" t="s">
        <v>1</v>
      </c>
      <c r="D91" s="273" t="s">
        <v>2</v>
      </c>
      <c r="E91" s="265" t="s">
        <v>200</v>
      </c>
      <c r="F91" s="280" t="s">
        <v>231</v>
      </c>
    </row>
    <row r="92" spans="1:6">
      <c r="A92" s="153" t="s">
        <v>86</v>
      </c>
      <c r="B92" s="275">
        <f>'Fixed Curtain Officr Copy'!B85</f>
        <v>0</v>
      </c>
      <c r="C92" s="275">
        <f>'Fixed Curtain Officr Copy'!C85</f>
        <v>0</v>
      </c>
      <c r="D92" s="275">
        <f>'Fixed Curtain Officr Copy'!D85</f>
        <v>0</v>
      </c>
      <c r="E92" s="122" t="s">
        <v>19</v>
      </c>
      <c r="F92" s="341" t="e">
        <f ca="1">'Fixed Curtain Officr Copy'!K85</f>
        <v>#NAME?</v>
      </c>
    </row>
    <row r="93" spans="1:6">
      <c r="A93" s="153" t="s">
        <v>65</v>
      </c>
      <c r="B93" s="275">
        <f>'Fixed Curtain Officr Copy'!B86</f>
        <v>0</v>
      </c>
      <c r="C93" s="275">
        <f>'Fixed Curtain Officr Copy'!C86</f>
        <v>0</v>
      </c>
      <c r="D93" s="275">
        <f>'Fixed Curtain Officr Copy'!D86</f>
        <v>0</v>
      </c>
      <c r="E93" s="122" t="s">
        <v>19</v>
      </c>
      <c r="F93" s="341" t="e">
        <f ca="1">'Fixed Curtain Officr Copy'!K86</f>
        <v>#NAME?</v>
      </c>
    </row>
    <row r="94" spans="1:6" ht="20.25">
      <c r="A94" s="342" t="s">
        <v>35</v>
      </c>
      <c r="B94" s="274" t="str">
        <f>'Fixed Curtain Officr Copy'!B87</f>
        <v>~</v>
      </c>
      <c r="C94" s="274" t="str">
        <f>'Fixed Curtain Officr Copy'!C87</f>
        <v>~</v>
      </c>
      <c r="D94" s="274" t="str">
        <f>'Fixed Curtain Officr Copy'!D87</f>
        <v>~</v>
      </c>
      <c r="E94" s="271" t="s">
        <v>22</v>
      </c>
      <c r="F94" s="343" t="str">
        <f>'Fixed Curtain Officr Copy'!K87</f>
        <v>~</v>
      </c>
    </row>
    <row r="95" spans="1:6">
      <c r="A95" s="153" t="s">
        <v>90</v>
      </c>
      <c r="B95" s="268">
        <f>'Fixed Curtain Officr Copy'!B88</f>
        <v>0</v>
      </c>
      <c r="C95" s="268" t="str">
        <f>'Fixed Curtain Officr Copy'!C88</f>
        <v>N/A</v>
      </c>
      <c r="D95" s="268">
        <f>'Fixed Curtain Officr Copy'!D88</f>
        <v>0</v>
      </c>
      <c r="E95" s="122" t="s">
        <v>42</v>
      </c>
      <c r="F95" s="341">
        <f>'Fixed Curtain Officr Copy'!K88</f>
        <v>0</v>
      </c>
    </row>
    <row r="96" spans="1:6">
      <c r="A96" s="153" t="s">
        <v>16</v>
      </c>
      <c r="B96" s="268" t="str">
        <f>'Fixed Curtain Officr Copy'!B89</f>
        <v>None</v>
      </c>
      <c r="C96" s="268" t="str">
        <f>'Fixed Curtain Officr Copy'!C89</f>
        <v>None</v>
      </c>
      <c r="D96" s="268">
        <f>'Fixed Curtain Officr Copy'!D89</f>
        <v>0</v>
      </c>
      <c r="E96" s="117" t="s">
        <v>20</v>
      </c>
      <c r="F96" s="341">
        <f>'Fixed Curtain Officr Copy'!K89</f>
        <v>0</v>
      </c>
    </row>
    <row r="97" spans="1:6">
      <c r="A97" s="153" t="s">
        <v>17</v>
      </c>
      <c r="B97" s="268" t="str">
        <f>'Fixed Curtain Officr Copy'!B90</f>
        <v>None</v>
      </c>
      <c r="C97" s="268" t="str">
        <f>'Fixed Curtain Officr Copy'!C90</f>
        <v>N/A</v>
      </c>
      <c r="D97" s="268">
        <f>'Fixed Curtain Officr Copy'!D90</f>
        <v>0</v>
      </c>
      <c r="E97" s="117" t="s">
        <v>20</v>
      </c>
      <c r="F97" s="341">
        <f>'Fixed Curtain Officr Copy'!K90</f>
        <v>0</v>
      </c>
    </row>
    <row r="98" spans="1:6">
      <c r="A98" s="153" t="s">
        <v>18</v>
      </c>
      <c r="B98" s="268" t="str">
        <f>'Fixed Curtain Officr Copy'!B91</f>
        <v>None</v>
      </c>
      <c r="C98" s="268" t="str">
        <f>'Fixed Curtain Officr Copy'!C91</f>
        <v>None</v>
      </c>
      <c r="D98" s="268">
        <f>'Fixed Curtain Officr Copy'!D91</f>
        <v>0</v>
      </c>
      <c r="E98" s="117" t="s">
        <v>20</v>
      </c>
      <c r="F98" s="341">
        <f>'Fixed Curtain Officr Copy'!K91</f>
        <v>0</v>
      </c>
    </row>
    <row r="99" spans="1:6">
      <c r="A99" s="153" t="s">
        <v>227</v>
      </c>
      <c r="B99" s="268">
        <f>'Fixed Curtain Officr Copy'!B92</f>
        <v>0</v>
      </c>
      <c r="C99" s="268" t="str">
        <f>'Fixed Curtain Officr Copy'!C92</f>
        <v>N/A</v>
      </c>
      <c r="D99" s="268">
        <f>'Fixed Curtain Officr Copy'!D92</f>
        <v>0</v>
      </c>
      <c r="E99" s="117" t="s">
        <v>21</v>
      </c>
      <c r="F99" s="341">
        <f>'Fixed Curtain Officr Copy'!K92</f>
        <v>0</v>
      </c>
    </row>
    <row r="100" spans="1:6">
      <c r="A100" s="153" t="s">
        <v>156</v>
      </c>
      <c r="B100" s="268" t="str">
        <f>'Fixed Curtain Officr Copy'!B93</f>
        <v>No</v>
      </c>
      <c r="C100" s="268" t="str">
        <f>'Fixed Curtain Officr Copy'!C93</f>
        <v>N/A</v>
      </c>
      <c r="D100" s="268">
        <f>'Fixed Curtain Officr Copy'!D93</f>
        <v>0</v>
      </c>
      <c r="E100" s="117" t="s">
        <v>21</v>
      </c>
      <c r="F100" s="341">
        <f>'Fixed Curtain Officr Copy'!K93</f>
        <v>0</v>
      </c>
    </row>
    <row r="101" spans="1:6">
      <c r="A101" s="153" t="s">
        <v>43</v>
      </c>
      <c r="B101" s="268" t="str">
        <f>'Fixed Curtain Officr Copy'!B94</f>
        <v>None</v>
      </c>
      <c r="C101" s="268" t="str">
        <f>'Fixed Curtain Officr Copy'!C94</f>
        <v>None</v>
      </c>
      <c r="D101" s="268">
        <f>'Fixed Curtain Officr Copy'!D94</f>
        <v>0</v>
      </c>
      <c r="E101" s="117" t="s">
        <v>20</v>
      </c>
      <c r="F101" s="341">
        <f>'Fixed Curtain Officr Copy'!K94</f>
        <v>0</v>
      </c>
    </row>
    <row r="102" spans="1:6">
      <c r="A102" s="153" t="s">
        <v>216</v>
      </c>
      <c r="B102" s="268" t="str">
        <f>'Fixed Curtain Officr Copy'!B95</f>
        <v>No</v>
      </c>
      <c r="C102" s="268" t="str">
        <f>'Fixed Curtain Officr Copy'!C95</f>
        <v>N/A</v>
      </c>
      <c r="D102" s="268">
        <f>'Fixed Curtain Officr Copy'!D95</f>
        <v>0</v>
      </c>
      <c r="E102" s="117" t="s">
        <v>20</v>
      </c>
      <c r="F102" s="341">
        <f>'Fixed Curtain Officr Copy'!K95</f>
        <v>0</v>
      </c>
    </row>
    <row r="103" spans="1:6">
      <c r="A103" s="153" t="s">
        <v>217</v>
      </c>
      <c r="B103" s="268" t="str">
        <f>'Fixed Curtain Officr Copy'!B96</f>
        <v>No</v>
      </c>
      <c r="C103" s="268" t="str">
        <f>'Fixed Curtain Officr Copy'!C96</f>
        <v>N/A</v>
      </c>
      <c r="D103" s="268">
        <f>'Fixed Curtain Officr Copy'!D96</f>
        <v>0</v>
      </c>
      <c r="E103" s="117" t="s">
        <v>20</v>
      </c>
      <c r="F103" s="341">
        <f>'Fixed Curtain Officr Copy'!K96</f>
        <v>0</v>
      </c>
    </row>
    <row r="104" spans="1:6">
      <c r="A104" s="153" t="s">
        <v>218</v>
      </c>
      <c r="B104" s="268">
        <f>'Fixed Curtain Officr Copy'!B97</f>
        <v>0</v>
      </c>
      <c r="C104" s="268" t="str">
        <f>'Fixed Curtain Officr Copy'!C97</f>
        <v>N/A</v>
      </c>
      <c r="D104" s="268">
        <f>'Fixed Curtain Officr Copy'!D97</f>
        <v>0</v>
      </c>
      <c r="E104" s="117" t="s">
        <v>20</v>
      </c>
      <c r="F104" s="341">
        <f>'Fixed Curtain Officr Copy'!K97</f>
        <v>0</v>
      </c>
    </row>
    <row r="105" spans="1:6" ht="15" thickBot="1">
      <c r="A105" s="153" t="s">
        <v>93</v>
      </c>
      <c r="B105" s="268" t="str">
        <f>'Fixed Curtain Officr Copy'!B98</f>
        <v>N/A</v>
      </c>
      <c r="C105" s="268" t="str">
        <f>'Fixed Curtain Officr Copy'!C98</f>
        <v>N/A</v>
      </c>
      <c r="D105" s="268" t="str">
        <f>'Fixed Curtain Officr Copy'!D98</f>
        <v>N/A</v>
      </c>
      <c r="E105" s="117" t="s">
        <v>21</v>
      </c>
      <c r="F105" s="341">
        <f>'Fixed Curtain Officr Copy'!K98</f>
        <v>0</v>
      </c>
    </row>
    <row r="106" spans="1:6" ht="18.75" thickBot="1">
      <c r="A106" s="370"/>
      <c r="B106" s="372"/>
      <c r="C106" s="338" t="s">
        <v>186</v>
      </c>
      <c r="D106" s="339">
        <f>'Fixed Curtain Officr Copy'!D99</f>
        <v>0</v>
      </c>
      <c r="E106" s="338" t="s">
        <v>228</v>
      </c>
      <c r="F106" s="352" t="e">
        <f ca="1">'Fixed Curtain Officr Copy'!B99</f>
        <v>#NAME?</v>
      </c>
    </row>
    <row r="108" spans="1:6" ht="15" thickBot="1"/>
    <row r="109" spans="1:6" ht="20.25">
      <c r="A109" s="290" t="s">
        <v>40</v>
      </c>
      <c r="B109" s="265" t="s">
        <v>23</v>
      </c>
      <c r="C109" s="273" t="s">
        <v>2</v>
      </c>
      <c r="D109" s="265" t="s">
        <v>200</v>
      </c>
      <c r="E109" s="280" t="s">
        <v>231</v>
      </c>
    </row>
    <row r="110" spans="1:6">
      <c r="A110" s="153" t="s">
        <v>99</v>
      </c>
      <c r="B110" s="122">
        <f>'Fixed Curtain Officr Copy'!P5</f>
        <v>1</v>
      </c>
      <c r="C110" s="122">
        <f>'Fixed Curtain Officr Copy'!R5</f>
        <v>0</v>
      </c>
      <c r="D110" s="117" t="s">
        <v>28</v>
      </c>
      <c r="E110" s="349">
        <f>'Fixed Curtain Officr Copy'!Y5</f>
        <v>0</v>
      </c>
    </row>
    <row r="111" spans="1:6">
      <c r="A111" s="153" t="s">
        <v>98</v>
      </c>
      <c r="B111" s="122">
        <f>'Fixed Curtain Officr Copy'!P6</f>
        <v>0</v>
      </c>
      <c r="C111" s="122">
        <f>'Fixed Curtain Officr Copy'!R6</f>
        <v>0</v>
      </c>
      <c r="D111" s="117" t="s">
        <v>28</v>
      </c>
      <c r="E111" s="349">
        <f>'Fixed Curtain Officr Copy'!Y6</f>
        <v>0</v>
      </c>
    </row>
    <row r="112" spans="1:6">
      <c r="A112" s="153" t="s">
        <v>142</v>
      </c>
      <c r="B112" s="122" t="str">
        <f>'Fixed Curtain Officr Copy'!P7</f>
        <v>N/A</v>
      </c>
      <c r="C112" s="122">
        <f>'Fixed Curtain Officr Copy'!R7</f>
        <v>0</v>
      </c>
      <c r="D112" s="117" t="s">
        <v>29</v>
      </c>
      <c r="E112" s="349">
        <f>'Fixed Curtain Officr Copy'!Y7</f>
        <v>0</v>
      </c>
    </row>
    <row r="113" spans="1:6">
      <c r="A113" s="153" t="s">
        <v>25</v>
      </c>
      <c r="B113" s="122" t="str">
        <f>'Fixed Curtain Officr Copy'!P8</f>
        <v>N/A</v>
      </c>
      <c r="C113" s="122">
        <f>'Fixed Curtain Officr Copy'!R8</f>
        <v>0</v>
      </c>
      <c r="D113" s="117" t="s">
        <v>30</v>
      </c>
      <c r="E113" s="349">
        <f>'Fixed Curtain Officr Copy'!Y8</f>
        <v>0</v>
      </c>
    </row>
    <row r="114" spans="1:6">
      <c r="A114" s="153" t="s">
        <v>143</v>
      </c>
      <c r="B114" s="122" t="s">
        <v>89</v>
      </c>
      <c r="C114" s="122">
        <f>'Fixed Curtain Officr Copy'!R9</f>
        <v>0</v>
      </c>
      <c r="D114" s="117" t="s">
        <v>21</v>
      </c>
      <c r="E114" s="349">
        <f>'Fixed Curtain Officr Copy'!Y9</f>
        <v>0</v>
      </c>
    </row>
    <row r="115" spans="1:6">
      <c r="A115" s="153" t="s">
        <v>144</v>
      </c>
      <c r="B115" s="122" t="s">
        <v>89</v>
      </c>
      <c r="C115" s="122">
        <f>'Fixed Curtain Officr Copy'!R10</f>
        <v>0</v>
      </c>
      <c r="D115" s="117" t="s">
        <v>21</v>
      </c>
      <c r="E115" s="349">
        <f>'Fixed Curtain Officr Copy'!Y10</f>
        <v>0</v>
      </c>
    </row>
    <row r="116" spans="1:6">
      <c r="A116" s="153" t="s">
        <v>26</v>
      </c>
      <c r="B116" s="122" t="str">
        <f>'Fixed Curtain Officr Copy'!P11</f>
        <v>N/A</v>
      </c>
      <c r="C116" s="122" t="str">
        <f>'Fixed Curtain Officr Copy'!R11</f>
        <v>N/A</v>
      </c>
      <c r="D116" s="122" t="s">
        <v>21</v>
      </c>
      <c r="E116" s="349">
        <f>'Fixed Curtain Officr Copy'!Y11</f>
        <v>0</v>
      </c>
    </row>
    <row r="117" spans="1:6">
      <c r="A117" s="153" t="s">
        <v>27</v>
      </c>
      <c r="B117" s="122" t="str">
        <f>'Fixed Curtain Officr Copy'!P12</f>
        <v>N/A</v>
      </c>
      <c r="C117" s="122" t="str">
        <f>'Fixed Curtain Officr Copy'!R12</f>
        <v>N/A</v>
      </c>
      <c r="D117" s="122" t="s">
        <v>21</v>
      </c>
      <c r="E117" s="349">
        <f>'Fixed Curtain Officr Copy'!Y12</f>
        <v>0</v>
      </c>
    </row>
    <row r="118" spans="1:6" ht="15" thickBot="1">
      <c r="A118" s="95" t="s">
        <v>102</v>
      </c>
      <c r="B118" s="99" t="str">
        <f>'Fixed Curtain Officr Copy'!P13</f>
        <v>N/A</v>
      </c>
      <c r="C118" s="99" t="str">
        <f>'Fixed Curtain Officr Copy'!R13</f>
        <v>N/A</v>
      </c>
      <c r="D118" s="99" t="s">
        <v>21</v>
      </c>
      <c r="E118" s="350">
        <f>'Fixed Curtain Officr Copy'!Y13</f>
        <v>0</v>
      </c>
    </row>
    <row r="119" spans="1:6" ht="18.75" thickBot="1">
      <c r="A119" s="370"/>
      <c r="B119" s="371"/>
      <c r="C119" s="371"/>
      <c r="D119" s="338" t="s">
        <v>228</v>
      </c>
      <c r="E119" s="354">
        <f>'Fixed Curtain Officr Copy'!P14</f>
        <v>0</v>
      </c>
    </row>
    <row r="121" spans="1:6" ht="15" thickBot="1"/>
    <row r="122" spans="1:6" ht="21" thickBot="1">
      <c r="A122" s="289" t="s">
        <v>183</v>
      </c>
    </row>
    <row r="123" spans="1:6">
      <c r="A123" s="316" t="s">
        <v>187</v>
      </c>
      <c r="B123" s="317" t="s">
        <v>34</v>
      </c>
      <c r="C123" s="317" t="s">
        <v>188</v>
      </c>
      <c r="D123" s="317" t="s">
        <v>2</v>
      </c>
      <c r="E123" s="317" t="s">
        <v>200</v>
      </c>
      <c r="F123" s="174" t="s">
        <v>231</v>
      </c>
    </row>
    <row r="124" spans="1:6">
      <c r="A124" s="318" t="s">
        <v>189</v>
      </c>
      <c r="B124" s="268" t="s">
        <v>190</v>
      </c>
      <c r="C124" s="268" t="s">
        <v>147</v>
      </c>
      <c r="D124" s="268">
        <f>'Fixed Curtain Officr Copy'!R37</f>
        <v>0</v>
      </c>
      <c r="E124" s="268" t="s">
        <v>21</v>
      </c>
      <c r="F124" s="319">
        <f>'Fixed Curtain Officr Copy'!Y37</f>
        <v>0</v>
      </c>
    </row>
    <row r="125" spans="1:6" ht="15" thickBot="1">
      <c r="A125" s="320" t="s">
        <v>192</v>
      </c>
      <c r="B125" s="2" t="s">
        <v>191</v>
      </c>
      <c r="C125" s="2" t="s">
        <v>145</v>
      </c>
      <c r="D125" s="2">
        <f>'Fixed Curtain Officr Copy'!R38</f>
        <v>0</v>
      </c>
      <c r="E125" s="2" t="s">
        <v>21</v>
      </c>
      <c r="F125" s="322">
        <f>'Fixed Curtain Officr Copy'!Y38</f>
        <v>0</v>
      </c>
    </row>
    <row r="127" spans="1:6" ht="15" thickBot="1"/>
    <row r="128" spans="1:6" ht="20.25">
      <c r="A128" s="149" t="s">
        <v>182</v>
      </c>
      <c r="B128" s="150" t="s">
        <v>2</v>
      </c>
      <c r="C128" s="174" t="s">
        <v>231</v>
      </c>
    </row>
    <row r="129" spans="1:5">
      <c r="A129" s="114" t="s">
        <v>158</v>
      </c>
      <c r="B129" s="23" t="str">
        <f>IF('Fixed Curtain Officr Copy'!AD5="","",'Fixed Curtain Officr Copy'!AD5)</f>
        <v/>
      </c>
      <c r="C129" s="345">
        <f>'Fixed Curtain Officr Copy'!AH5</f>
        <v>0</v>
      </c>
    </row>
    <row r="130" spans="1:5">
      <c r="A130" s="114" t="s">
        <v>162</v>
      </c>
      <c r="B130" s="23" t="str">
        <f>IF('Fixed Curtain Officr Copy'!AD6="","",'Fixed Curtain Officr Copy'!AD6)</f>
        <v/>
      </c>
      <c r="C130" s="345">
        <f>'Fixed Curtain Officr Copy'!AH6</f>
        <v>0</v>
      </c>
    </row>
    <row r="131" spans="1:5">
      <c r="A131" s="114" t="s">
        <v>163</v>
      </c>
      <c r="B131" s="23" t="str">
        <f>IF('Fixed Curtain Officr Copy'!AD7="","",'Fixed Curtain Officr Copy'!AD7)</f>
        <v/>
      </c>
      <c r="C131" s="345">
        <f>'Fixed Curtain Officr Copy'!AH7</f>
        <v>0</v>
      </c>
    </row>
    <row r="132" spans="1:5">
      <c r="A132" s="309" t="s">
        <v>229</v>
      </c>
      <c r="B132" s="23" t="str">
        <f>IF('Fixed Curtain Officr Copy'!AD8="","",'Fixed Curtain Officr Copy'!AD8)</f>
        <v/>
      </c>
      <c r="C132" s="345">
        <f>'Fixed Curtain Officr Copy'!AH8</f>
        <v>0</v>
      </c>
    </row>
    <row r="133" spans="1:5" ht="15" thickBot="1">
      <c r="A133" s="309" t="s">
        <v>164</v>
      </c>
      <c r="B133" s="347" t="str">
        <f>IF('Fixed Curtain Officr Copy'!AD9="","",'Fixed Curtain Officr Copy'!AD9)</f>
        <v/>
      </c>
      <c r="C133" s="346">
        <f>'Fixed Curtain Officr Copy'!AH9</f>
        <v>0</v>
      </c>
    </row>
    <row r="134" spans="1:5" ht="18.75" thickBot="1">
      <c r="A134" s="369"/>
      <c r="B134" s="338" t="s">
        <v>228</v>
      </c>
      <c r="C134" s="354">
        <f>'Fixed Curtain Officr Copy'!AD10</f>
        <v>0</v>
      </c>
      <c r="D134" s="132"/>
      <c r="E134" s="132"/>
    </row>
  </sheetData>
  <mergeCells count="6">
    <mergeCell ref="A119:C119"/>
    <mergeCell ref="A29:B29"/>
    <mergeCell ref="A48:B48"/>
    <mergeCell ref="A67:B67"/>
    <mergeCell ref="A87:B87"/>
    <mergeCell ref="A106:B106"/>
  </mergeCells>
  <phoneticPr fontId="17" type="noConversion"/>
  <dataValidations count="2">
    <dataValidation type="decimal" operator="greaterThanOrEqual" allowBlank="1" showInputMessage="1" showErrorMessage="1" sqref="B15:C16 B17:B28 D18:D29 C18:C28 B34:C47 D53:D67 D34:D48 D73:D87 B53:C66 D92:D106 B73:C86 B92:C105">
      <formula1>0</formula1>
    </dataValidation>
    <dataValidation type="date" operator="greaterThanOrEqual" allowBlank="1" showInputMessage="1" showErrorMessage="1" error="You must enter a date greater than today" prompt="Format: dd/mm/year" sqref="D1">
      <formula1>TODAY()</formula1>
    </dataValidation>
  </dataValidations>
  <pageMargins left="0.7" right="0.7" top="0.75" bottom="0.75" header="0.3" footer="0.3"/>
  <pageSetup scale="61" fitToHeight="2"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Fixed Curtain Officr Copy</vt:lpstr>
      <vt:lpstr>Fixed Curtain Rep Copy</vt:lpstr>
      <vt:lpstr>Printable Version</vt:lpstr>
      <vt:lpstr>Empty Take-off</vt:lpstr>
      <vt:lpstr>Outside Printable Version</vt:lpstr>
      <vt:lpstr>'Empty Take-off'!Print_Area</vt:lpstr>
      <vt:lpstr>'Fixed Curtain Officr Copy'!Print_Area</vt:lpstr>
      <vt:lpstr>'Outside Printable Version'!Print_Area</vt:lpstr>
      <vt:lpstr>'Printable Version'!Print_Area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tj4z</cp:lastModifiedBy>
  <cp:lastPrinted>2016-12-13T20:11:52Z</cp:lastPrinted>
  <dcterms:created xsi:type="dcterms:W3CDTF">2016-06-28T15:50:10Z</dcterms:created>
  <dcterms:modified xsi:type="dcterms:W3CDTF">2017-01-04T02:18:35Z</dcterms:modified>
</cp:coreProperties>
</file>