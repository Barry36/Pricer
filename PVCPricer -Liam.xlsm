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ropbox\Co-op Computer\Pricers\"/>
    </mc:Choice>
  </mc:AlternateContent>
  <bookViews>
    <workbookView xWindow="1005" yWindow="105" windowWidth="19320" windowHeight="11580" activeTab="1"/>
  </bookViews>
  <sheets>
    <sheet name="Full Roll" sheetId="2" r:id="rId1"/>
    <sheet name="strip calc for opening size" sheetId="3" r:id="rId2"/>
    <sheet name="Rollinfo" sheetId="4" r:id="rId3"/>
    <sheet name="DoNotUse SqFt (2)" sheetId="5" r:id="rId4"/>
    <sheet name="Sheet1" sheetId="6" r:id="rId5"/>
    <sheet name="Printable" sheetId="7" r:id="rId6"/>
  </sheets>
  <externalReferences>
    <externalReference r:id="rId7"/>
    <externalReference r:id="rId8"/>
  </externalReferences>
  <definedNames>
    <definedName name="_xlnm.Print_Area" localSheetId="3">'DoNotUse SqFt (2)'!$A$1:$H$53</definedName>
    <definedName name="_xlnm.Print_Area" localSheetId="0">'Full Roll'!$A$1:$Q$50</definedName>
    <definedName name="_xlnm.Print_Area" localSheetId="1">'strip calc for opening size'!$B$2:$F$37</definedName>
  </definedNames>
  <calcPr calcId="171027" concurrentCalc="0"/>
</workbook>
</file>

<file path=xl/calcChain.xml><?xml version="1.0" encoding="utf-8"?>
<calcChain xmlns="http://schemas.openxmlformats.org/spreadsheetml/2006/main">
  <c r="D34" i="3" l="1"/>
  <c r="Y23" i="3"/>
  <c r="B3" i="7"/>
  <c r="C34" i="7"/>
  <c r="C35" i="7"/>
  <c r="C36" i="7"/>
  <c r="C23" i="7"/>
  <c r="C22" i="7"/>
  <c r="C18" i="7"/>
  <c r="C17" i="7"/>
  <c r="D9" i="7"/>
  <c r="B7" i="7"/>
  <c r="B8" i="7"/>
  <c r="B9" i="7"/>
  <c r="B11" i="7"/>
  <c r="B12" i="7"/>
  <c r="B13" i="7"/>
  <c r="B6" i="7"/>
  <c r="D6" i="7"/>
  <c r="B5" i="7"/>
  <c r="D5" i="7"/>
  <c r="B4" i="7"/>
  <c r="D4" i="7"/>
  <c r="B24" i="7"/>
  <c r="C28" i="3"/>
  <c r="B27" i="7"/>
  <c r="E7" i="3"/>
  <c r="E6" i="3"/>
  <c r="X32" i="3"/>
  <c r="G47" i="2"/>
  <c r="N47" i="2"/>
  <c r="S1" i="2"/>
  <c r="T45" i="2"/>
  <c r="D45" i="2"/>
  <c r="I100" i="3"/>
  <c r="I99" i="3"/>
  <c r="F110" i="3"/>
  <c r="C114" i="3"/>
  <c r="BK15" i="3"/>
  <c r="BK14" i="3"/>
  <c r="BK13" i="3"/>
  <c r="BK12" i="3"/>
  <c r="BK11" i="3"/>
  <c r="C33" i="3"/>
  <c r="B32" i="7"/>
  <c r="C34" i="3"/>
  <c r="B33" i="7"/>
  <c r="AS18" i="3"/>
  <c r="C117" i="3"/>
  <c r="C106" i="3"/>
  <c r="C105" i="3"/>
  <c r="BK10" i="3"/>
  <c r="E5" i="3"/>
  <c r="AD112" i="3"/>
  <c r="AM102" i="3"/>
  <c r="W19" i="3"/>
  <c r="AM105" i="3"/>
  <c r="C115" i="3"/>
  <c r="L8" i="2"/>
  <c r="L12" i="2"/>
  <c r="L23" i="2"/>
  <c r="L31" i="2"/>
  <c r="L37" i="2"/>
  <c r="L39" i="2"/>
  <c r="L43" i="2"/>
  <c r="L47" i="2"/>
  <c r="G8" i="2"/>
  <c r="H8" i="2"/>
  <c r="G12" i="2"/>
  <c r="N12" i="2"/>
  <c r="G23" i="2"/>
  <c r="N23" i="2"/>
  <c r="G31" i="2"/>
  <c r="N31" i="2"/>
  <c r="G37" i="2"/>
  <c r="H37" i="2"/>
  <c r="G43" i="2"/>
  <c r="N43" i="2"/>
  <c r="H47" i="2"/>
  <c r="D4" i="5"/>
  <c r="M8" i="5"/>
  <c r="B11" i="5"/>
  <c r="D5" i="5"/>
  <c r="D6" i="5"/>
  <c r="M7" i="5"/>
  <c r="L7" i="5"/>
  <c r="L8" i="5"/>
  <c r="M9" i="5"/>
  <c r="L9" i="5"/>
  <c r="M10" i="5"/>
  <c r="L10" i="5"/>
  <c r="M11" i="5"/>
  <c r="L11" i="5"/>
  <c r="B42" i="5"/>
  <c r="B43" i="5"/>
  <c r="B44" i="5"/>
  <c r="B48" i="5"/>
  <c r="B15" i="5"/>
  <c r="M12" i="5"/>
  <c r="L12" i="5"/>
  <c r="D48" i="5"/>
  <c r="M13" i="5"/>
  <c r="L13" i="5"/>
  <c r="M14" i="5"/>
  <c r="L14" i="5"/>
  <c r="M15" i="5"/>
  <c r="L15" i="5"/>
  <c r="B54" i="5"/>
  <c r="M16" i="5"/>
  <c r="L16" i="5"/>
  <c r="K17" i="5"/>
  <c r="M17" i="5"/>
  <c r="L17" i="5"/>
  <c r="T17" i="5"/>
  <c r="X17" i="5"/>
  <c r="M18" i="5"/>
  <c r="L18" i="5"/>
  <c r="X18" i="5"/>
  <c r="M19" i="5"/>
  <c r="L19" i="5"/>
  <c r="M20" i="5"/>
  <c r="L20" i="5"/>
  <c r="M21" i="5"/>
  <c r="L21" i="5"/>
  <c r="M22" i="5"/>
  <c r="L22" i="5"/>
  <c r="M23" i="5"/>
  <c r="L23" i="5"/>
  <c r="M24" i="5"/>
  <c r="L24" i="5"/>
  <c r="M25" i="5"/>
  <c r="L25" i="5"/>
  <c r="B51" i="5"/>
  <c r="M26" i="5"/>
  <c r="L26" i="5"/>
  <c r="B52" i="5"/>
  <c r="B28" i="5"/>
  <c r="K33" i="5"/>
  <c r="L33" i="5"/>
  <c r="K34" i="5"/>
  <c r="L34" i="5"/>
  <c r="K35" i="5"/>
  <c r="L35" i="5"/>
  <c r="D47" i="5"/>
  <c r="B13" i="5"/>
  <c r="E47" i="5"/>
  <c r="D49" i="5"/>
  <c r="E111" i="3"/>
  <c r="C19" i="3"/>
  <c r="E19" i="3"/>
  <c r="D18" i="7"/>
  <c r="E110" i="3"/>
  <c r="E112" i="3"/>
  <c r="E8" i="2"/>
  <c r="E12" i="2"/>
  <c r="E23" i="2"/>
  <c r="E31" i="2"/>
  <c r="E37" i="2"/>
  <c r="E43" i="2"/>
  <c r="E47" i="2"/>
  <c r="AL8" i="3"/>
  <c r="AK8" i="3"/>
  <c r="AL9" i="3"/>
  <c r="AK9" i="3"/>
  <c r="AL10" i="3"/>
  <c r="AK10" i="3"/>
  <c r="AL11" i="3"/>
  <c r="AK11" i="3"/>
  <c r="AL12" i="3"/>
  <c r="AK12" i="3"/>
  <c r="AL13" i="3"/>
  <c r="AK13" i="3"/>
  <c r="AL14" i="3"/>
  <c r="AK14" i="3"/>
  <c r="AL15" i="3"/>
  <c r="AK15" i="3"/>
  <c r="AL16" i="3"/>
  <c r="AK16" i="3"/>
  <c r="AL17" i="3"/>
  <c r="AK17" i="3"/>
  <c r="AL25" i="3"/>
  <c r="AK25" i="3"/>
  <c r="AL26" i="3"/>
  <c r="AK26" i="3"/>
  <c r="AM104" i="3"/>
  <c r="AN104" i="3"/>
  <c r="AN105" i="3"/>
  <c r="AM106" i="3"/>
  <c r="AN106" i="3"/>
  <c r="AW18" i="3"/>
  <c r="AW19" i="3"/>
  <c r="K3" i="4"/>
  <c r="L3" i="4"/>
  <c r="K4" i="4"/>
  <c r="L4" i="4"/>
  <c r="K5" i="4"/>
  <c r="L5" i="4"/>
  <c r="K6" i="4"/>
  <c r="L6" i="4"/>
  <c r="K7" i="4"/>
  <c r="L7" i="4"/>
  <c r="K8" i="4"/>
  <c r="L8" i="4"/>
  <c r="B17" i="5"/>
  <c r="B22" i="5"/>
  <c r="H31" i="2"/>
  <c r="H12" i="2"/>
  <c r="H43" i="2"/>
  <c r="N37" i="2"/>
  <c r="N8" i="2"/>
  <c r="H23" i="2"/>
  <c r="T13" i="2"/>
  <c r="D13" i="2"/>
  <c r="G13" i="2"/>
  <c r="N13" i="2"/>
  <c r="T16" i="2"/>
  <c r="D16" i="2"/>
  <c r="T44" i="2"/>
  <c r="D44" i="2"/>
  <c r="J44" i="2"/>
  <c r="L44" i="2"/>
  <c r="T22" i="2"/>
  <c r="D22" i="2"/>
  <c r="T49" i="2"/>
  <c r="D49" i="2"/>
  <c r="G49" i="2"/>
  <c r="T41" i="2"/>
  <c r="D41" i="2"/>
  <c r="T7" i="2"/>
  <c r="D7" i="2"/>
  <c r="T21" i="2"/>
  <c r="D21" i="2"/>
  <c r="J22" i="2"/>
  <c r="L22" i="2"/>
  <c r="J49" i="2"/>
  <c r="L49" i="2"/>
  <c r="E49" i="2"/>
  <c r="E44" i="2"/>
  <c r="E13" i="2"/>
  <c r="J7" i="2"/>
  <c r="E7" i="2"/>
  <c r="G7" i="2"/>
  <c r="G16" i="2"/>
  <c r="J16" i="2"/>
  <c r="E16" i="2"/>
  <c r="E45" i="2"/>
  <c r="J45" i="2"/>
  <c r="L45" i="2"/>
  <c r="J21" i="2"/>
  <c r="L21" i="2"/>
  <c r="E21" i="2"/>
  <c r="G21" i="2"/>
  <c r="G22" i="2"/>
  <c r="E22" i="2"/>
  <c r="H49" i="2"/>
  <c r="N49" i="2"/>
  <c r="G15" i="5"/>
  <c r="G16" i="5"/>
  <c r="B33" i="5"/>
  <c r="B34" i="5"/>
  <c r="D13" i="5"/>
  <c r="H13" i="2"/>
  <c r="J13" i="2"/>
  <c r="G44" i="2"/>
  <c r="C48" i="5"/>
  <c r="G45" i="2"/>
  <c r="J41" i="2"/>
  <c r="L41" i="2"/>
  <c r="E41" i="2"/>
  <c r="G41" i="2"/>
  <c r="K2" i="3"/>
  <c r="T15" i="2"/>
  <c r="D15" i="2"/>
  <c r="T34" i="2"/>
  <c r="D34" i="2"/>
  <c r="T28" i="2"/>
  <c r="D28" i="2"/>
  <c r="T38" i="2"/>
  <c r="D38" i="2"/>
  <c r="T27" i="2"/>
  <c r="D27" i="2"/>
  <c r="T33" i="2"/>
  <c r="D33" i="2"/>
  <c r="T26" i="2"/>
  <c r="D26" i="2"/>
  <c r="T17" i="2"/>
  <c r="D17" i="2"/>
  <c r="T9" i="2"/>
  <c r="D9" i="2"/>
  <c r="T39" i="2"/>
  <c r="D39" i="2"/>
  <c r="B47" i="5"/>
  <c r="C47" i="5"/>
  <c r="T14" i="2"/>
  <c r="D14" i="2"/>
  <c r="T19" i="2"/>
  <c r="D19" i="2"/>
  <c r="T10" i="2"/>
  <c r="D10" i="2"/>
  <c r="T40" i="2"/>
  <c r="D40" i="2"/>
  <c r="T18" i="2"/>
  <c r="D18" i="2"/>
  <c r="T11" i="2"/>
  <c r="D11" i="2"/>
  <c r="T6" i="2"/>
  <c r="D6" i="2"/>
  <c r="T32" i="2"/>
  <c r="D32" i="2"/>
  <c r="T42" i="2"/>
  <c r="D42" i="2"/>
  <c r="B49" i="5"/>
  <c r="C49" i="5"/>
  <c r="T25" i="2"/>
  <c r="D25" i="2"/>
  <c r="T36" i="2"/>
  <c r="D36" i="2"/>
  <c r="T51" i="2"/>
  <c r="D51" i="2"/>
  <c r="T35" i="2"/>
  <c r="D35" i="2"/>
  <c r="T30" i="2"/>
  <c r="D30" i="2"/>
  <c r="T48" i="2"/>
  <c r="D48" i="2"/>
  <c r="T20" i="2"/>
  <c r="D20" i="2"/>
  <c r="T46" i="2"/>
  <c r="D46" i="2"/>
  <c r="T24" i="2"/>
  <c r="D24" i="2"/>
  <c r="T50" i="2"/>
  <c r="D50" i="2"/>
  <c r="T29" i="2"/>
  <c r="D29" i="2"/>
  <c r="J48" i="2"/>
  <c r="L48" i="2"/>
  <c r="G48" i="2"/>
  <c r="E48" i="2"/>
  <c r="G46" i="2"/>
  <c r="E46" i="2"/>
  <c r="J46" i="2"/>
  <c r="L46" i="2"/>
  <c r="J35" i="2"/>
  <c r="L35" i="2"/>
  <c r="G35" i="2"/>
  <c r="E35" i="2"/>
  <c r="J11" i="2"/>
  <c r="L11" i="2"/>
  <c r="E11" i="2"/>
  <c r="G11" i="2"/>
  <c r="J19" i="2"/>
  <c r="L19" i="2"/>
  <c r="G19" i="2"/>
  <c r="E19" i="2"/>
  <c r="E9" i="2"/>
  <c r="J9" i="2"/>
  <c r="G9" i="2"/>
  <c r="J27" i="2"/>
  <c r="G27" i="2"/>
  <c r="E27" i="2"/>
  <c r="E15" i="2"/>
  <c r="G15" i="2"/>
  <c r="J15" i="2"/>
  <c r="L15" i="2"/>
  <c r="J16" i="3"/>
  <c r="Z13" i="3"/>
  <c r="L13" i="2"/>
  <c r="H22" i="2"/>
  <c r="N22" i="2"/>
  <c r="N16" i="2"/>
  <c r="H16" i="2"/>
  <c r="G24" i="2"/>
  <c r="J24" i="2"/>
  <c r="E24" i="2"/>
  <c r="J30" i="2"/>
  <c r="L30" i="2"/>
  <c r="E30" i="2"/>
  <c r="G30" i="2"/>
  <c r="G25" i="2"/>
  <c r="J25" i="2"/>
  <c r="E25" i="2"/>
  <c r="J6" i="2"/>
  <c r="E6" i="2"/>
  <c r="G6" i="2"/>
  <c r="E10" i="2"/>
  <c r="G10" i="2"/>
  <c r="J10" i="2"/>
  <c r="E39" i="2"/>
  <c r="G39" i="2"/>
  <c r="J33" i="2"/>
  <c r="E33" i="2"/>
  <c r="G33" i="2"/>
  <c r="J34" i="2"/>
  <c r="E34" i="2"/>
  <c r="G34" i="2"/>
  <c r="N44" i="2"/>
  <c r="H44" i="2"/>
  <c r="L16" i="2"/>
  <c r="AB15" i="3"/>
  <c r="Y15" i="3"/>
  <c r="C33" i="7"/>
  <c r="Z15" i="3"/>
  <c r="L7" i="2"/>
  <c r="AB24" i="3"/>
  <c r="Y24" i="3"/>
  <c r="Z24" i="3"/>
  <c r="E50" i="2"/>
  <c r="G50" i="2"/>
  <c r="J50" i="2"/>
  <c r="L50" i="2"/>
  <c r="J36" i="2"/>
  <c r="L36" i="2"/>
  <c r="E36" i="2"/>
  <c r="G36" i="2"/>
  <c r="J32" i="2"/>
  <c r="G32" i="2"/>
  <c r="E32" i="2"/>
  <c r="G40" i="2"/>
  <c r="J40" i="2"/>
  <c r="L40" i="2"/>
  <c r="E40" i="2"/>
  <c r="E26" i="2"/>
  <c r="J26" i="2"/>
  <c r="L26" i="2"/>
  <c r="G26" i="2"/>
  <c r="E28" i="2"/>
  <c r="G28" i="2"/>
  <c r="J28" i="2"/>
  <c r="H41" i="2"/>
  <c r="N41" i="2"/>
  <c r="B12" i="5"/>
  <c r="E48" i="5"/>
  <c r="B16" i="5"/>
  <c r="J29" i="2"/>
  <c r="L29" i="2"/>
  <c r="E29" i="2"/>
  <c r="G29" i="2"/>
  <c r="J20" i="2"/>
  <c r="L20" i="2"/>
  <c r="E20" i="2"/>
  <c r="G20" i="2"/>
  <c r="E51" i="2"/>
  <c r="J51" i="2"/>
  <c r="L51" i="2"/>
  <c r="G51" i="2"/>
  <c r="J42" i="2"/>
  <c r="L42" i="2"/>
  <c r="G42" i="2"/>
  <c r="E42" i="2"/>
  <c r="J18" i="2"/>
  <c r="L18" i="2"/>
  <c r="G18" i="2"/>
  <c r="E18" i="2"/>
  <c r="G14" i="2"/>
  <c r="E14" i="2"/>
  <c r="J14" i="2"/>
  <c r="J17" i="2"/>
  <c r="E17" i="2"/>
  <c r="G17" i="2"/>
  <c r="G38" i="2"/>
  <c r="J38" i="2"/>
  <c r="L38" i="2"/>
  <c r="E38" i="2"/>
  <c r="H45" i="2"/>
  <c r="N45" i="2"/>
  <c r="N21" i="2"/>
  <c r="H21" i="2"/>
  <c r="H7" i="2"/>
  <c r="N7" i="2"/>
  <c r="L17" i="2"/>
  <c r="AB16" i="3"/>
  <c r="Y16" i="3"/>
  <c r="Z16" i="3"/>
  <c r="H42" i="2"/>
  <c r="N42" i="2"/>
  <c r="H29" i="2"/>
  <c r="N29" i="2"/>
  <c r="F21" i="5"/>
  <c r="E49" i="5"/>
  <c r="B14" i="5"/>
  <c r="D12" i="5"/>
  <c r="N28" i="2"/>
  <c r="H28" i="2"/>
  <c r="N34" i="2"/>
  <c r="H34" i="2"/>
  <c r="Z12" i="3"/>
  <c r="L10" i="2"/>
  <c r="J15" i="3"/>
  <c r="H25" i="2"/>
  <c r="N25" i="2"/>
  <c r="H9" i="2"/>
  <c r="N9" i="2"/>
  <c r="N19" i="2"/>
  <c r="H19" i="2"/>
  <c r="H48" i="2"/>
  <c r="N48" i="2"/>
  <c r="H14" i="2"/>
  <c r="N14" i="2"/>
  <c r="D16" i="5"/>
  <c r="B18" i="5"/>
  <c r="B35" i="5"/>
  <c r="B36" i="5"/>
  <c r="B38" i="5"/>
  <c r="B39" i="5"/>
  <c r="B27" i="5"/>
  <c r="B21" i="5"/>
  <c r="L28" i="2"/>
  <c r="AB20" i="3"/>
  <c r="Y20" i="3"/>
  <c r="Z20" i="3"/>
  <c r="H40" i="2"/>
  <c r="N40" i="2"/>
  <c r="N36" i="2"/>
  <c r="H36" i="2"/>
  <c r="N50" i="2"/>
  <c r="H50" i="2"/>
  <c r="N33" i="2"/>
  <c r="H33" i="2"/>
  <c r="H6" i="2"/>
  <c r="N6" i="2"/>
  <c r="Z18" i="3"/>
  <c r="L25" i="2"/>
  <c r="J19" i="3"/>
  <c r="L16" i="3"/>
  <c r="AB13" i="3"/>
  <c r="H15" i="2"/>
  <c r="N15" i="2"/>
  <c r="L27" i="2"/>
  <c r="AB19" i="3"/>
  <c r="Y19" i="3"/>
  <c r="Z19" i="3"/>
  <c r="N17" i="2"/>
  <c r="H17" i="2"/>
  <c r="N51" i="2"/>
  <c r="H51" i="2"/>
  <c r="H26" i="2"/>
  <c r="N26" i="2"/>
  <c r="L32" i="2"/>
  <c r="AB21" i="3"/>
  <c r="Y21" i="3"/>
  <c r="Z21" i="3"/>
  <c r="L34" i="2"/>
  <c r="AB23" i="3"/>
  <c r="Z23" i="3"/>
  <c r="H39" i="2"/>
  <c r="N39" i="2"/>
  <c r="H24" i="2"/>
  <c r="N24" i="2"/>
  <c r="N27" i="2"/>
  <c r="H27" i="2"/>
  <c r="N11" i="2"/>
  <c r="H11" i="2"/>
  <c r="H35" i="2"/>
  <c r="N35" i="2"/>
  <c r="N46" i="2"/>
  <c r="H46" i="2"/>
  <c r="N38" i="2"/>
  <c r="H38" i="2"/>
  <c r="Z14" i="3"/>
  <c r="L14" i="2"/>
  <c r="J17" i="3"/>
  <c r="N18" i="2"/>
  <c r="H18" i="2"/>
  <c r="H20" i="2"/>
  <c r="N20" i="2"/>
  <c r="H32" i="2"/>
  <c r="N32" i="2"/>
  <c r="Z22" i="3"/>
  <c r="L33" i="2"/>
  <c r="AB22" i="3"/>
  <c r="Y22" i="3"/>
  <c r="H10" i="2"/>
  <c r="N10" i="2"/>
  <c r="L6" i="2"/>
  <c r="AB10" i="3"/>
  <c r="Y10" i="3"/>
  <c r="Z10" i="3"/>
  <c r="N30" i="2"/>
  <c r="H30" i="2"/>
  <c r="Z17" i="3"/>
  <c r="L24" i="2"/>
  <c r="J18" i="3"/>
  <c r="Z11" i="3"/>
  <c r="L9" i="2"/>
  <c r="J14" i="3"/>
  <c r="AB18" i="3"/>
  <c r="L19" i="3"/>
  <c r="B26" i="5"/>
  <c r="B29" i="5"/>
  <c r="B20" i="5"/>
  <c r="B24" i="5"/>
  <c r="L14" i="3"/>
  <c r="AB11" i="3"/>
  <c r="L17" i="3"/>
  <c r="AB14" i="3"/>
  <c r="Y14" i="3"/>
  <c r="L18" i="3"/>
  <c r="AB17" i="3"/>
  <c r="Y17" i="3"/>
  <c r="L15" i="3"/>
  <c r="AB12" i="3"/>
  <c r="Y12" i="3"/>
  <c r="Y13" i="3"/>
  <c r="Y11" i="3"/>
  <c r="Y18" i="3"/>
  <c r="C25" i="3"/>
  <c r="C107" i="3"/>
  <c r="C112" i="3"/>
  <c r="D112" i="3"/>
  <c r="F112" i="3"/>
  <c r="C111" i="3"/>
  <c r="C21" i="3"/>
  <c r="B20" i="7"/>
  <c r="B18" i="7"/>
  <c r="C110" i="3"/>
  <c r="D110" i="3"/>
  <c r="C97" i="3"/>
  <c r="C35" i="3"/>
  <c r="B34" i="7"/>
  <c r="C22" i="3"/>
  <c r="B21" i="7"/>
  <c r="D111" i="3"/>
  <c r="C18" i="3"/>
  <c r="F111" i="3"/>
  <c r="C23" i="3"/>
  <c r="J8" i="3"/>
  <c r="E34" i="3"/>
  <c r="D33" i="7"/>
  <c r="C36" i="3"/>
  <c r="C96" i="3"/>
  <c r="C24" i="3"/>
  <c r="C98" i="3"/>
  <c r="C99" i="3"/>
  <c r="C101" i="3"/>
  <c r="C102" i="3"/>
  <c r="C20" i="3"/>
  <c r="B17" i="7"/>
  <c r="AH111" i="3"/>
  <c r="E18" i="3"/>
  <c r="D17" i="7"/>
  <c r="B22" i="7"/>
  <c r="C27" i="3"/>
  <c r="B26" i="7"/>
  <c r="E23" i="3"/>
  <c r="D22" i="7"/>
  <c r="AD111" i="3"/>
  <c r="L8" i="3"/>
  <c r="B35" i="7"/>
  <c r="J12" i="3"/>
  <c r="L12" i="3"/>
  <c r="AL106" i="3"/>
  <c r="J11" i="3"/>
  <c r="L11" i="3"/>
  <c r="AL103" i="3"/>
  <c r="J9" i="3"/>
  <c r="L9" i="3"/>
  <c r="AL104" i="3"/>
  <c r="X33" i="3"/>
  <c r="E35" i="3"/>
  <c r="J10" i="3"/>
  <c r="L10" i="3"/>
  <c r="AL105" i="3"/>
  <c r="B19" i="7"/>
  <c r="AD110" i="3"/>
  <c r="AD114" i="3"/>
  <c r="C26" i="3"/>
  <c r="B23" i="7"/>
  <c r="E24" i="3"/>
  <c r="D23" i="7"/>
  <c r="B25" i="7"/>
  <c r="C29" i="3"/>
  <c r="B28" i="7"/>
  <c r="C30" i="3"/>
  <c r="B29" i="7"/>
  <c r="D34" i="7"/>
  <c r="E36" i="3"/>
  <c r="D35" i="7"/>
  <c r="E37" i="3"/>
  <c r="D36" i="7"/>
</calcChain>
</file>

<file path=xl/sharedStrings.xml><?xml version="1.0" encoding="utf-8"?>
<sst xmlns="http://schemas.openxmlformats.org/spreadsheetml/2006/main" count="767" uniqueCount="316">
  <si>
    <t>Exchange date</t>
  </si>
  <si>
    <t>Exchange</t>
  </si>
  <si>
    <t>BXL DISTRIBUTORS LTD.</t>
  </si>
  <si>
    <t>Mark-up</t>
  </si>
  <si>
    <t>List</t>
  </si>
  <si>
    <t>Dist</t>
  </si>
  <si>
    <t>BXL CODE</t>
  </si>
  <si>
    <t>PRODUCT</t>
  </si>
  <si>
    <t>BXL COST  IN US$</t>
  </si>
  <si>
    <t>WEIGHT</t>
  </si>
  <si>
    <t>COST  IN  CAD $</t>
  </si>
  <si>
    <t>600-10 EX</t>
  </si>
  <si>
    <t xml:space="preserve">D/S 4" X .060" X 300' STD </t>
  </si>
  <si>
    <t>.060"</t>
  </si>
  <si>
    <t>600-11 EX</t>
  </si>
  <si>
    <t xml:space="preserve">D/S 4" X .060" X 300' LOW TEMP </t>
  </si>
  <si>
    <t>600-12 EX</t>
  </si>
  <si>
    <t xml:space="preserve">D/S 6" X .060" X 300' STD </t>
  </si>
  <si>
    <t>600-13 EX</t>
  </si>
  <si>
    <t>D/S 6" X .060" X 300' LOW TEMP</t>
  </si>
  <si>
    <t>600-13-1 EX</t>
  </si>
  <si>
    <t>D/S 6" X .060" X 300' LOW TEMP REINFORCED</t>
  </si>
  <si>
    <t>600-14-3 EX</t>
  </si>
  <si>
    <t>D/S 8" X .080" X 300' STD NOM</t>
  </si>
  <si>
    <t>.080"</t>
  </si>
  <si>
    <t>600-15-3 EX</t>
  </si>
  <si>
    <t>D/S 8" X .080" X 300' LOW TEMP NOM</t>
  </si>
  <si>
    <t>600-16 EX</t>
  </si>
  <si>
    <t>D/S 8" X .080" X 300' LOW TEMP REINFORCED</t>
  </si>
  <si>
    <t>600-30-8 EX</t>
  </si>
  <si>
    <t>D/S 8" X .072" X 150' STD DURARIB™</t>
  </si>
  <si>
    <t>600-31-8 EX</t>
  </si>
  <si>
    <t>D/S 8" X .072" X 150' LOW TEMP DURARIB™</t>
  </si>
  <si>
    <t>600-16-1 EX</t>
  </si>
  <si>
    <t>D/S 8" X .080" X 300' OPAQUE BLACK</t>
  </si>
  <si>
    <t>600-18-8 EX</t>
  </si>
  <si>
    <t>D/S 8" X .080" X 300' SAFETY ORANGE</t>
  </si>
  <si>
    <t>600-33-8 EX</t>
  </si>
  <si>
    <t>600-34-8 EX</t>
  </si>
  <si>
    <t>600-15-1 EX</t>
  </si>
  <si>
    <t xml:space="preserve">D/S 8" X .080" X 300' ANTI-STATIC </t>
  </si>
  <si>
    <t>600-21-1 EX</t>
  </si>
  <si>
    <t>D/S 12" X .120" X 200' STD NOM</t>
  </si>
  <si>
    <t>.120"</t>
  </si>
  <si>
    <t>600-23-6 EX</t>
  </si>
  <si>
    <t>D/S 12" X .120" X 200' LOW TEMP NOM</t>
  </si>
  <si>
    <t>600-24-1 EX</t>
  </si>
  <si>
    <t>D/S 12" X .120" X 200' LOW TEMP REINFORCED</t>
  </si>
  <si>
    <t>600-30-12 EX</t>
  </si>
  <si>
    <t>D/S 12" X .110" X 150' STD DURARIB</t>
  </si>
  <si>
    <t>.110"</t>
  </si>
  <si>
    <t>600-31-12 EX</t>
  </si>
  <si>
    <t>600-18-12 EX</t>
  </si>
  <si>
    <t>D/S 12" X .120" X 200' SAFETY ORANGE</t>
  </si>
  <si>
    <t>600-26 EX</t>
  </si>
  <si>
    <t>D/S 16" X.160" X 100' STD</t>
  </si>
  <si>
    <t>.160"</t>
  </si>
  <si>
    <t>600-27 EX</t>
  </si>
  <si>
    <t>D/S 16" X.160" X 100' LOW TEMP</t>
  </si>
  <si>
    <t>600-30-16 EX</t>
  </si>
  <si>
    <t>D/S 16" X .144" X 100' STD DURARIB™</t>
  </si>
  <si>
    <t>600-31-16 EX</t>
  </si>
  <si>
    <t>D/S 16" X .144" X 100' LOW TEMP DURARIB™</t>
  </si>
  <si>
    <t>600-18-16 EX</t>
  </si>
  <si>
    <t>D/S 16' x .160 x 100'  (orange)</t>
  </si>
  <si>
    <t>700-10-30 EX</t>
  </si>
  <si>
    <t>PVC 48" X .060" X 60' STD</t>
  </si>
  <si>
    <t>700-10 EX</t>
  </si>
  <si>
    <t>PVC 48" X .080" X 60' STD</t>
  </si>
  <si>
    <t>700-13-2 EX</t>
  </si>
  <si>
    <t>PVC 48" X .120" X 60' STD</t>
  </si>
  <si>
    <t>700-15-6 EX</t>
  </si>
  <si>
    <t>PVC 48" X .160" X 60' STD</t>
  </si>
  <si>
    <t>900-14 ABP</t>
  </si>
  <si>
    <t>F/V .016" X 54" X 70 YDS (1-3LD) UVFR</t>
  </si>
  <si>
    <t>900-15 ABP-S</t>
  </si>
  <si>
    <t>F/V .020" X 54" X 60 YDS UVFR</t>
  </si>
  <si>
    <t>.016"</t>
  </si>
  <si>
    <t>900-16 ABP</t>
  </si>
  <si>
    <t>F/V .040" X 54" X 30 YDS UVR</t>
  </si>
  <si>
    <t>925-12 JFR</t>
  </si>
  <si>
    <t>W/C DK.GREEN S8 .014" X 66" X 100 YDS</t>
  </si>
  <si>
    <t>.014"</t>
  </si>
  <si>
    <t>925-13 JFR</t>
  </si>
  <si>
    <t>W/C YELLOW .014" X 66" X 100 YDS</t>
  </si>
  <si>
    <t>925-14 JFR</t>
  </si>
  <si>
    <t>W/C ORANGE .014" X 66" X 100 YDS</t>
  </si>
  <si>
    <t>NS = NON STOCKED ITEMS</t>
  </si>
  <si>
    <t>LEAD TIMES CAN BE PROVIDED FOR NON-STOCK ITEMS. PLEASE CALL OR EMAIL TO INQUIRE</t>
  </si>
  <si>
    <t>** UNDER 1000 LBS. FOB BXL DISTRIBUTORS LTD.</t>
  </si>
  <si>
    <t>***OVER 1000 LBS. FOB SHAVER INDUSTRIES</t>
  </si>
  <si>
    <r>
      <t>D/S 8" X .080" X 300' Bronze SCREENFLEX</t>
    </r>
    <r>
      <rPr>
        <sz val="11"/>
        <color indexed="8"/>
        <rFont val="Calibri"/>
        <family val="2"/>
      </rPr>
      <t>™</t>
    </r>
  </si>
  <si>
    <r>
      <t>D/S 8" X .080" X 300' RED SCREENFLEX</t>
    </r>
    <r>
      <rPr>
        <sz val="11"/>
        <color indexed="8"/>
        <rFont val="Calibri"/>
        <family val="2"/>
      </rPr>
      <t>™</t>
    </r>
  </si>
  <si>
    <r>
      <t>D/S 12" X .110" X 150' LOW TEMP DURARIB</t>
    </r>
    <r>
      <rPr>
        <sz val="11"/>
        <color indexed="8"/>
        <rFont val="Calibri"/>
        <family val="2"/>
      </rPr>
      <t>™</t>
    </r>
  </si>
  <si>
    <t xml:space="preserve">Replacement </t>
  </si>
  <si>
    <t>Strips</t>
  </si>
  <si>
    <t>Full Roll</t>
  </si>
  <si>
    <t>Thickness</t>
  </si>
  <si>
    <t>Length</t>
  </si>
  <si>
    <t>in feet</t>
  </si>
  <si>
    <r>
      <t>PASSWORD is "</t>
    </r>
    <r>
      <rPr>
        <b/>
        <sz val="16"/>
        <color indexed="8"/>
        <rFont val="Arial"/>
        <family val="2"/>
      </rPr>
      <t>PVC</t>
    </r>
    <r>
      <rPr>
        <b/>
        <sz val="11"/>
        <color indexed="8"/>
        <rFont val="Arial"/>
        <family val="2"/>
      </rPr>
      <t>"</t>
    </r>
  </si>
  <si>
    <t>Standard PVC pricer for Square Foot Pricing</t>
  </si>
  <si>
    <t>(enter data into green boxes)</t>
  </si>
  <si>
    <t>Distributor</t>
  </si>
  <si>
    <t>This was re-done by Bob P March 2015 - Do not use yet!</t>
  </si>
  <si>
    <t>Customer type</t>
  </si>
  <si>
    <t>Middle</t>
  </si>
  <si>
    <t>based</t>
  </si>
  <si>
    <t xml:space="preserve">Opening Width:  </t>
  </si>
  <si>
    <t>ft</t>
  </si>
  <si>
    <t>Type of Mounting:</t>
  </si>
  <si>
    <t>Channel</t>
  </si>
  <si>
    <t>End User</t>
  </si>
  <si>
    <t>on these</t>
  </si>
  <si>
    <t xml:space="preserve">Opening Height:  </t>
  </si>
  <si>
    <t>inches</t>
  </si>
  <si>
    <t>Location of Mounting:</t>
  </si>
  <si>
    <t>face mount</t>
  </si>
  <si>
    <t>Dist/sq. ft.</t>
  </si>
  <si>
    <t>Mid/sq. ft.</t>
  </si>
  <si>
    <t>End/sq. ft.</t>
  </si>
  <si>
    <t>weight/sq. ft.</t>
  </si>
  <si>
    <t>ft./roll</t>
  </si>
  <si>
    <t>prices</t>
  </si>
  <si>
    <t xml:space="preserve">Model:  </t>
  </si>
  <si>
    <t>CS8-F</t>
  </si>
  <si>
    <t>Cantilever Brackets Required:</t>
  </si>
  <si>
    <t>yes</t>
  </si>
  <si>
    <t>CS6-2</t>
  </si>
  <si>
    <t>6" Standard</t>
  </si>
  <si>
    <t>lb/ft.</t>
  </si>
  <si>
    <t>PVC Type:</t>
  </si>
  <si>
    <t>8" Standard</t>
  </si>
  <si>
    <t>CL6-2</t>
  </si>
  <si>
    <t>6" Low Temp</t>
  </si>
  <si>
    <t>Number of curtains this size:</t>
  </si>
  <si>
    <t>CS8-2</t>
  </si>
  <si>
    <t>8" Low Temp</t>
  </si>
  <si>
    <t>CL8-2</t>
  </si>
  <si>
    <t>8" Welding</t>
  </si>
  <si>
    <t>Actual curtain Width</t>
  </si>
  <si>
    <t>CL8-F</t>
  </si>
  <si>
    <t>12" Standard</t>
  </si>
  <si>
    <t>Actual PVC length</t>
  </si>
  <si>
    <t>CW8-2</t>
  </si>
  <si>
    <t>12" Low Temp</t>
  </si>
  <si>
    <t>total square feet</t>
  </si>
  <si>
    <t>sq. ft.</t>
  </si>
  <si>
    <t>CW8-F</t>
  </si>
  <si>
    <t>16" Standard</t>
  </si>
  <si>
    <t>total # of strips req'd</t>
  </si>
  <si>
    <t>strips</t>
  </si>
  <si>
    <t>Total # of ft. req'd:</t>
  </si>
  <si>
    <t>CS12-2</t>
  </si>
  <si>
    <t>16" Low Temp</t>
  </si>
  <si>
    <t>length of mounting</t>
  </si>
  <si>
    <t>approx. # of rolls req'd:</t>
  </si>
  <si>
    <t>CS12-4</t>
  </si>
  <si>
    <t>click factor</t>
  </si>
  <si>
    <t>CS12-F</t>
  </si>
  <si>
    <t>PVC weight/ft this order:</t>
  </si>
  <si>
    <t>CL12-2</t>
  </si>
  <si>
    <t>2"</t>
  </si>
  <si>
    <t>hardware weight/ft this order:</t>
  </si>
  <si>
    <t>CL12-4</t>
  </si>
  <si>
    <t>4"</t>
  </si>
  <si>
    <t>Price, PVC only:</t>
  </si>
  <si>
    <t xml:space="preserve">Overlap of curtain at </t>
  </si>
  <si>
    <t>CL12-F</t>
  </si>
  <si>
    <t>Price of Mounting</t>
  </si>
  <si>
    <t>each side of door:</t>
  </si>
  <si>
    <t>CS16-4</t>
  </si>
  <si>
    <t>Price of Cantilever Brkts</t>
  </si>
  <si>
    <t>per pair</t>
  </si>
  <si>
    <t>CS16-6</t>
  </si>
  <si>
    <t>Time (removed by Bob P)</t>
  </si>
  <si>
    <t>I used replacement strip pricing for this</t>
  </si>
  <si>
    <t>CS16-F</t>
  </si>
  <si>
    <t>Total, PVC &amp; Mounting</t>
  </si>
  <si>
    <t>CL16-4</t>
  </si>
  <si>
    <t>CL16-6</t>
  </si>
  <si>
    <t>Weight, PVC</t>
  </si>
  <si>
    <t>lbs</t>
  </si>
  <si>
    <t>CL16-F</t>
  </si>
  <si>
    <t>Weight, Mounting</t>
  </si>
  <si>
    <t>Weight, Cantilever Brkts</t>
  </si>
  <si>
    <t>Total Weight</t>
  </si>
  <si>
    <t>no</t>
  </si>
  <si>
    <t>Time</t>
  </si>
  <si>
    <t>Setup table</t>
  </si>
  <si>
    <t>Changing Rolls</t>
  </si>
  <si>
    <t>Quickmount MD</t>
  </si>
  <si>
    <t>PVC Clicking &amp; packaging</t>
  </si>
  <si>
    <t>Quickmount HD</t>
  </si>
  <si>
    <t>Hardware, cutting stock</t>
  </si>
  <si>
    <t>Hardware, counting fasteners</t>
  </si>
  <si>
    <t>no mounting</t>
  </si>
  <si>
    <t>Total Time</t>
  </si>
  <si>
    <t>min</t>
  </si>
  <si>
    <t>or</t>
  </si>
  <si>
    <t>hours</t>
  </si>
  <si>
    <t>length of strip</t>
  </si>
  <si>
    <t>time</t>
  </si>
  <si>
    <t>sec</t>
  </si>
  <si>
    <t>overlap</t>
  </si>
  <si>
    <t>width of strip</t>
  </si>
  <si>
    <t>travel per strip</t>
  </si>
  <si>
    <t>cutting flat stock</t>
  </si>
  <si>
    <t>strips required</t>
  </si>
  <si>
    <t>width</t>
  </si>
  <si>
    <t>PVC length</t>
  </si>
  <si>
    <t>mounting length</t>
  </si>
  <si>
    <t>min each</t>
  </si>
  <si>
    <t>under lintel</t>
  </si>
  <si>
    <t>changing rolls</t>
  </si>
  <si>
    <t>actual curtain size</t>
  </si>
  <si>
    <t>weight/sq. ft., PVC</t>
  </si>
  <si>
    <t>counting fasteners</t>
  </si>
  <si>
    <t>weight./ft., Mounting</t>
  </si>
  <si>
    <t>min/ft</t>
  </si>
  <si>
    <t># of feet per roll this order</t>
  </si>
  <si>
    <t>Cost per roll from BXL for various models of strip curtain</t>
  </si>
  <si>
    <t>BXL 5% increase Feb 18/02:</t>
  </si>
  <si>
    <t>Cost</t>
  </si>
  <si>
    <t>roll length</t>
  </si>
  <si>
    <t>Width</t>
  </si>
  <si>
    <t>Overlap</t>
  </si>
  <si>
    <t>AS8-2</t>
  </si>
  <si>
    <t>AS8-F</t>
  </si>
  <si>
    <t>Price</t>
  </si>
  <si>
    <t>Total</t>
  </si>
  <si>
    <t>120"</t>
  </si>
  <si>
    <t>.144"</t>
  </si>
  <si>
    <t>.040"</t>
  </si>
  <si>
    <t>m/up</t>
  </si>
  <si>
    <t>Rubberline</t>
  </si>
  <si>
    <t>Dist price</t>
  </si>
  <si>
    <t>---</t>
  </si>
  <si>
    <t>in inches</t>
  </si>
  <si>
    <t>QuickmountHD</t>
  </si>
  <si>
    <t>QuickmountMD</t>
  </si>
  <si>
    <t>DIST Price</t>
  </si>
  <si>
    <t>LIST Price</t>
  </si>
  <si>
    <t>6" standard</t>
  </si>
  <si>
    <t>6" low temp</t>
  </si>
  <si>
    <t>8" standard</t>
  </si>
  <si>
    <t>8" low temp</t>
  </si>
  <si>
    <t>12" standard</t>
  </si>
  <si>
    <t>12" low temp</t>
  </si>
  <si>
    <t>Customer name</t>
  </si>
  <si>
    <t>ID/Tag</t>
  </si>
  <si>
    <t>Price/square foot</t>
  </si>
  <si>
    <t>price/ft of mounting</t>
  </si>
  <si>
    <t># pieces of mounting/curtain</t>
  </si>
  <si>
    <t>based on 10' pcs</t>
  </si>
  <si>
    <r>
      <t>*If customer gives size of curtain required only, enter "</t>
    </r>
    <r>
      <rPr>
        <b/>
        <i/>
        <sz val="10"/>
        <color indexed="14"/>
        <rFont val="Arial"/>
        <family val="2"/>
      </rPr>
      <t>actual curtain size</t>
    </r>
    <r>
      <rPr>
        <b/>
        <i/>
        <sz val="10"/>
        <color indexed="10"/>
        <rFont val="Arial"/>
        <family val="2"/>
      </rPr>
      <t>" in location field.</t>
    </r>
  </si>
  <si>
    <t>D/S 8" X .080" X 300' Bronze SCREENFLEX™</t>
  </si>
  <si>
    <t>D/S 8" X .080" X 300' RED SCREENFLEX™</t>
  </si>
  <si>
    <t>D/S 12" X .110" X 150' LOW TEMP DURARIB™</t>
  </si>
  <si>
    <t>PVC 48" X .080" X 60'  low</t>
  </si>
  <si>
    <t>700-10-1-EX</t>
  </si>
  <si>
    <t xml:space="preserve"> C channel</t>
  </si>
  <si>
    <t>Galv  angle</t>
  </si>
  <si>
    <t>600-21-2EX</t>
  </si>
  <si>
    <t>D/S 12" X .080" X 300' Clear Pvc</t>
  </si>
  <si>
    <t>Galvanized Angle</t>
  </si>
  <si>
    <t>END</t>
  </si>
  <si>
    <t>DIST</t>
  </si>
  <si>
    <t>TYPE</t>
  </si>
  <si>
    <t>SELECTED</t>
  </si>
  <si>
    <t>8" Standard Durarib</t>
  </si>
  <si>
    <t>8" Low Temp Durarib</t>
  </si>
  <si>
    <t>12" Standard Durarib</t>
  </si>
  <si>
    <t>12" Low Temp Durarib</t>
  </si>
  <si>
    <t>16" Lowtemp</t>
  </si>
  <si>
    <t>Other</t>
  </si>
  <si>
    <t>"Other" Price Override:</t>
  </si>
  <si>
    <t>No Mounting</t>
  </si>
  <si>
    <t>Under Lintel</t>
  </si>
  <si>
    <t>Face Mount</t>
  </si>
  <si>
    <t>Actual Curtain Size</t>
  </si>
  <si>
    <t>Total length of mounting required</t>
  </si>
  <si>
    <t>Total # of strips req'd overall</t>
  </si>
  <si>
    <t>Actual PVC strip length</t>
  </si>
  <si>
    <t># of strips req'd per curtain</t>
  </si>
  <si>
    <t>Length of mounting per curtain</t>
  </si>
  <si>
    <t xml:space="preserve">Overlap Model:  </t>
  </si>
  <si>
    <t>Model</t>
  </si>
  <si>
    <t>PVC Type</t>
  </si>
  <si>
    <t>-</t>
  </si>
  <si>
    <t>Price/Curtain</t>
  </si>
  <si>
    <t>Sub Total</t>
  </si>
  <si>
    <t>Inches</t>
  </si>
  <si>
    <t>Weight, Cantilever Brackets</t>
  </si>
  <si>
    <t>4" Standard</t>
  </si>
  <si>
    <t>4" Low Temp</t>
  </si>
  <si>
    <t>Yes</t>
  </si>
  <si>
    <t>No</t>
  </si>
  <si>
    <t>Mounting/C.Brackets</t>
  </si>
  <si>
    <t>04X2 (100%)</t>
  </si>
  <si>
    <t>06X2 (67%)</t>
  </si>
  <si>
    <t>08X2 (50%)</t>
  </si>
  <si>
    <t>08XF (100%)</t>
  </si>
  <si>
    <t>12X2 (33%)</t>
  </si>
  <si>
    <t>12X4 (67%)</t>
  </si>
  <si>
    <t>12XF (100%)</t>
  </si>
  <si>
    <t>16X4 (50%)</t>
  </si>
  <si>
    <t>16X6 (75%)</t>
  </si>
  <si>
    <t>16XF (100%)</t>
  </si>
  <si>
    <t>Weight/Curtain</t>
  </si>
  <si>
    <t>C Channel</t>
  </si>
  <si>
    <t>W/C BLUE .014" X 66" X 100 YDS</t>
  </si>
  <si>
    <t>MOUNTING CANNOT BE CUT, WILL MOUNTING FIT IN OPENING?</t>
  </si>
  <si>
    <t>Company Name:</t>
  </si>
  <si>
    <t>Customer type:</t>
  </si>
  <si>
    <t>Company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</si>
</sst>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#,##0.000_);\(#,##0.000\)"/>
    <numFmt numFmtId="167" formatCode="&quot;$&quot;#,##0.00"/>
    <numFmt numFmtId="168" formatCode="_-* #,##0.000_-;\-* #,##0.000_-;_-* &quot;-&quot;??_-;_-@_-"/>
    <numFmt numFmtId="169" formatCode="_-* #,##0_-;\-* #,##0_-;_-* &quot;-&quot;??_-;_-@_-"/>
  </numFmts>
  <fonts count="67" x14ac:knownFonts="1">
    <font>
      <sz val="12"/>
      <color indexed="8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2"/>
      <color indexed="8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u/>
      <sz val="16"/>
      <color indexed="8"/>
      <name val="Calibri"/>
      <family val="2"/>
    </font>
    <font>
      <sz val="11"/>
      <name val="Calibri"/>
      <family val="2"/>
    </font>
    <font>
      <b/>
      <sz val="14"/>
      <name val="Calibri"/>
      <family val="2"/>
    </font>
    <font>
      <b/>
      <sz val="14"/>
      <color indexed="8"/>
      <name val="Calibri"/>
      <family val="2"/>
    </font>
    <font>
      <b/>
      <u/>
      <sz val="11"/>
      <color indexed="8"/>
      <name val="Calibri"/>
      <family val="2"/>
    </font>
    <font>
      <b/>
      <u/>
      <sz val="14"/>
      <color indexed="8"/>
      <name val="Calibri"/>
      <family val="2"/>
    </font>
    <font>
      <sz val="10"/>
      <name val="Arial"/>
      <family val="2"/>
    </font>
    <font>
      <u/>
      <sz val="11"/>
      <color indexed="8"/>
      <name val="Calibri"/>
      <family val="2"/>
    </font>
    <font>
      <u/>
      <sz val="11"/>
      <name val="Calibri"/>
      <family val="2"/>
    </font>
    <font>
      <b/>
      <sz val="11"/>
      <color indexed="8"/>
      <name val="Arial"/>
      <family val="2"/>
    </font>
    <font>
      <b/>
      <sz val="16"/>
      <color indexed="8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b/>
      <i/>
      <sz val="10"/>
      <color indexed="10"/>
      <name val="Arial"/>
      <family val="2"/>
    </font>
    <font>
      <i/>
      <sz val="10"/>
      <color indexed="10"/>
      <name val="Arial"/>
      <family val="2"/>
    </font>
    <font>
      <b/>
      <sz val="12"/>
      <name val="Arial"/>
      <family val="2"/>
    </font>
    <font>
      <sz val="6"/>
      <name val="Arial"/>
      <family val="2"/>
    </font>
    <font>
      <sz val="8"/>
      <color indexed="10"/>
      <name val="Arial"/>
      <family val="2"/>
    </font>
    <font>
      <b/>
      <i/>
      <sz val="1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6"/>
      <color indexed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i/>
      <sz val="12"/>
      <name val="Arial"/>
      <family val="2"/>
    </font>
    <font>
      <b/>
      <sz val="12"/>
      <color indexed="10"/>
      <name val="Arial"/>
      <family val="2"/>
    </font>
    <font>
      <b/>
      <u/>
      <sz val="16"/>
      <color indexed="8"/>
      <name val="Arial"/>
      <family val="2"/>
    </font>
    <font>
      <b/>
      <u val="singleAccounting"/>
      <sz val="16"/>
      <color indexed="8"/>
      <name val="Arial"/>
      <family val="2"/>
    </font>
    <font>
      <u/>
      <sz val="14"/>
      <color indexed="8"/>
      <name val="Calibri"/>
      <family val="2"/>
    </font>
    <font>
      <u/>
      <sz val="14"/>
      <name val="Calibri"/>
      <family val="2"/>
    </font>
    <font>
      <sz val="9"/>
      <color indexed="8"/>
      <name val="Calibri"/>
      <family val="2"/>
    </font>
    <font>
      <u/>
      <sz val="16"/>
      <name val="Arial"/>
      <family val="2"/>
    </font>
    <font>
      <sz val="16"/>
      <name val="Arial"/>
      <family val="2"/>
    </font>
    <font>
      <b/>
      <u/>
      <sz val="12"/>
      <name val="Arial"/>
      <family val="2"/>
    </font>
    <font>
      <sz val="11"/>
      <color indexed="8"/>
      <name val="Arial"/>
      <family val="2"/>
    </font>
    <font>
      <sz val="16"/>
      <color indexed="8"/>
      <name val="Arial"/>
      <family val="2"/>
    </font>
    <font>
      <sz val="14"/>
      <color indexed="8"/>
      <name val="Arial"/>
      <family val="2"/>
    </font>
    <font>
      <sz val="10"/>
      <name val="Arial"/>
      <family val="2"/>
    </font>
    <font>
      <sz val="16"/>
      <name val="Arial"/>
      <family val="2"/>
    </font>
    <font>
      <b/>
      <u/>
      <sz val="14"/>
      <color indexed="8"/>
      <name val="Arial"/>
      <family val="2"/>
    </font>
    <font>
      <u/>
      <sz val="14"/>
      <color indexed="8"/>
      <name val="Arial"/>
      <family val="2"/>
    </font>
    <font>
      <u/>
      <sz val="14"/>
      <name val="Arial"/>
      <family val="2"/>
    </font>
    <font>
      <b/>
      <i/>
      <sz val="10"/>
      <color indexed="14"/>
      <name val="Arial"/>
      <family val="2"/>
    </font>
    <font>
      <sz val="8"/>
      <name val="Calibri"/>
      <family val="2"/>
    </font>
    <font>
      <sz val="14"/>
      <name val="Arial"/>
      <family val="2"/>
    </font>
    <font>
      <sz val="9"/>
      <name val="Arial"/>
      <family val="2"/>
    </font>
    <font>
      <sz val="12"/>
      <color indexed="1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</fills>
  <borders count="4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8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9" borderId="0" applyNumberFormat="0" applyBorder="0" applyAlignment="0" applyProtection="0"/>
    <xf numFmtId="0" fontId="3" fillId="3" borderId="0" applyNumberFormat="0" applyBorder="0" applyAlignment="0" applyProtection="0"/>
    <xf numFmtId="0" fontId="4" fillId="20" borderId="1" applyNumberFormat="0" applyAlignment="0" applyProtection="0"/>
    <xf numFmtId="0" fontId="5" fillId="21" borderId="2" applyNumberFormat="0" applyAlignment="0" applyProtection="0"/>
    <xf numFmtId="165" fontId="25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2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2" fillId="7" borderId="1" applyNumberFormat="0" applyAlignment="0" applyProtection="0"/>
    <xf numFmtId="0" fontId="13" fillId="0" borderId="6" applyNumberFormat="0" applyFill="0" applyAlignment="0" applyProtection="0"/>
    <xf numFmtId="0" fontId="14" fillId="22" borderId="0" applyNumberFormat="0" applyBorder="0" applyAlignment="0" applyProtection="0"/>
    <xf numFmtId="0" fontId="1" fillId="0" borderId="0"/>
    <xf numFmtId="0" fontId="25" fillId="0" borderId="0"/>
    <xf numFmtId="0" fontId="6" fillId="23" borderId="7" applyNumberFormat="0" applyFont="0" applyAlignment="0" applyProtection="0"/>
    <xf numFmtId="0" fontId="15" fillId="20" borderId="8" applyNumberFormat="0" applyAlignment="0" applyProtection="0"/>
    <xf numFmtId="9" fontId="6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0" borderId="0" applyNumberFormat="0" applyFill="0" applyBorder="0" applyAlignment="0" applyProtection="0"/>
  </cellStyleXfs>
  <cellXfs count="421">
    <xf numFmtId="0" fontId="0" fillId="0" borderId="0" xfId="0"/>
    <xf numFmtId="0" fontId="1" fillId="0" borderId="0" xfId="40"/>
    <xf numFmtId="0" fontId="19" fillId="0" borderId="0" xfId="40" applyFont="1" applyAlignment="1">
      <alignment horizontal="center" vertical="center"/>
    </xf>
    <xf numFmtId="0" fontId="1" fillId="0" borderId="0" xfId="40" applyAlignment="1">
      <alignment horizontal="center"/>
    </xf>
    <xf numFmtId="0" fontId="20" fillId="0" borderId="0" xfId="40" applyFont="1" applyFill="1" applyAlignment="1">
      <alignment horizontal="center"/>
    </xf>
    <xf numFmtId="0" fontId="1" fillId="0" borderId="0" xfId="40" applyFill="1" applyAlignment="1">
      <alignment horizontal="center"/>
    </xf>
    <xf numFmtId="44" fontId="1" fillId="0" borderId="0" xfId="29" applyFont="1" applyFill="1" applyAlignment="1">
      <alignment horizontal="center"/>
    </xf>
    <xf numFmtId="0" fontId="1" fillId="24" borderId="10" xfId="40" applyFill="1" applyBorder="1"/>
    <xf numFmtId="0" fontId="1" fillId="0" borderId="0" xfId="40" applyFill="1"/>
    <xf numFmtId="166" fontId="25" fillId="0" borderId="11" xfId="29" applyNumberFormat="1" applyFont="1" applyFill="1" applyBorder="1" applyAlignment="1">
      <alignment horizontal="center"/>
    </xf>
    <xf numFmtId="37" fontId="25" fillId="0" borderId="11" xfId="29" applyNumberFormat="1" applyFont="1" applyFill="1" applyBorder="1" applyAlignment="1">
      <alignment horizontal="center"/>
    </xf>
    <xf numFmtId="0" fontId="1" fillId="0" borderId="11" xfId="40" applyBorder="1"/>
    <xf numFmtId="0" fontId="1" fillId="0" borderId="0" xfId="40" applyAlignment="1"/>
    <xf numFmtId="0" fontId="1" fillId="0" borderId="11" xfId="40" applyFill="1" applyBorder="1"/>
    <xf numFmtId="44" fontId="26" fillId="24" borderId="10" xfId="29" applyFont="1" applyFill="1" applyBorder="1" applyAlignment="1">
      <alignment horizontal="center"/>
    </xf>
    <xf numFmtId="0" fontId="26" fillId="0" borderId="0" xfId="40" applyFont="1" applyFill="1"/>
    <xf numFmtId="0" fontId="24" fillId="0" borderId="0" xfId="40" applyFont="1" applyFill="1" applyAlignment="1">
      <alignment horizontal="center"/>
    </xf>
    <xf numFmtId="0" fontId="1" fillId="0" borderId="11" xfId="40" applyFill="1" applyBorder="1" applyAlignment="1">
      <alignment horizontal="center"/>
    </xf>
    <xf numFmtId="0" fontId="1" fillId="0" borderId="11" xfId="40" applyBorder="1" applyAlignment="1">
      <alignment horizontal="center"/>
    </xf>
    <xf numFmtId="43" fontId="1" fillId="0" borderId="12" xfId="40" applyNumberFormat="1" applyFill="1" applyBorder="1"/>
    <xf numFmtId="164" fontId="1" fillId="0" borderId="12" xfId="40" applyNumberFormat="1" applyFill="1" applyBorder="1"/>
    <xf numFmtId="0" fontId="1" fillId="25" borderId="11" xfId="40" applyFill="1" applyBorder="1"/>
    <xf numFmtId="0" fontId="1" fillId="25" borderId="11" xfId="40" applyFill="1" applyBorder="1" applyAlignment="1">
      <alignment horizontal="center"/>
    </xf>
    <xf numFmtId="43" fontId="1" fillId="25" borderId="12" xfId="40" applyNumberFormat="1" applyFill="1" applyBorder="1"/>
    <xf numFmtId="166" fontId="25" fillId="25" borderId="11" xfId="29" applyNumberFormat="1" applyFont="1" applyFill="1" applyBorder="1" applyAlignment="1">
      <alignment horizontal="center"/>
    </xf>
    <xf numFmtId="37" fontId="25" fillId="25" borderId="11" xfId="29" applyNumberFormat="1" applyFont="1" applyFill="1" applyBorder="1" applyAlignment="1">
      <alignment horizontal="center"/>
    </xf>
    <xf numFmtId="0" fontId="25" fillId="0" borderId="0" xfId="41"/>
    <xf numFmtId="0" fontId="25" fillId="0" borderId="0" xfId="41" applyAlignment="1">
      <alignment horizontal="right"/>
    </xf>
    <xf numFmtId="0" fontId="30" fillId="26" borderId="0" xfId="41" applyFont="1" applyFill="1"/>
    <xf numFmtId="0" fontId="25" fillId="26" borderId="0" xfId="41" applyFill="1"/>
    <xf numFmtId="0" fontId="25" fillId="0" borderId="11" xfId="41" applyBorder="1"/>
    <xf numFmtId="0" fontId="25" fillId="0" borderId="13" xfId="41" applyBorder="1"/>
    <xf numFmtId="0" fontId="25" fillId="0" borderId="14" xfId="41" applyBorder="1"/>
    <xf numFmtId="164" fontId="34" fillId="27" borderId="11" xfId="41" applyNumberFormat="1" applyFont="1" applyFill="1" applyBorder="1"/>
    <xf numFmtId="0" fontId="37" fillId="0" borderId="0" xfId="41" applyFont="1" applyFill="1" applyBorder="1" applyAlignment="1">
      <alignment horizontal="right"/>
    </xf>
    <xf numFmtId="0" fontId="30" fillId="0" borderId="11" xfId="41" applyFont="1" applyBorder="1" applyAlignment="1">
      <alignment horizontal="center"/>
    </xf>
    <xf numFmtId="0" fontId="25" fillId="28" borderId="0" xfId="41" applyFill="1"/>
    <xf numFmtId="164" fontId="38" fillId="28" borderId="0" xfId="30" applyFont="1" applyFill="1" applyAlignment="1">
      <alignment horizontal="right"/>
    </xf>
    <xf numFmtId="164" fontId="34" fillId="26" borderId="11" xfId="41" applyNumberFormat="1" applyFont="1" applyFill="1" applyBorder="1"/>
    <xf numFmtId="0" fontId="25" fillId="0" borderId="0" xfId="41" applyFill="1"/>
    <xf numFmtId="43" fontId="25" fillId="0" borderId="0" xfId="41" applyNumberFormat="1"/>
    <xf numFmtId="164" fontId="25" fillId="0" borderId="0" xfId="30" applyFont="1"/>
    <xf numFmtId="0" fontId="34" fillId="0" borderId="0" xfId="41" applyFont="1"/>
    <xf numFmtId="0" fontId="39" fillId="0" borderId="0" xfId="41" applyFont="1"/>
    <xf numFmtId="0" fontId="34" fillId="0" borderId="0" xfId="41" applyFont="1" applyAlignment="1">
      <alignment horizontal="right"/>
    </xf>
    <xf numFmtId="0" fontId="39" fillId="0" borderId="0" xfId="41" applyFont="1" applyAlignment="1">
      <alignment horizontal="right"/>
    </xf>
    <xf numFmtId="0" fontId="25" fillId="0" borderId="0" xfId="41" applyBorder="1"/>
    <xf numFmtId="0" fontId="40" fillId="0" borderId="15" xfId="41" applyFont="1" applyBorder="1"/>
    <xf numFmtId="0" fontId="40" fillId="0" borderId="16" xfId="41" applyFont="1" applyBorder="1"/>
    <xf numFmtId="0" fontId="40" fillId="0" borderId="0" xfId="41" applyFont="1" applyBorder="1" applyAlignment="1">
      <alignment horizontal="right"/>
    </xf>
    <xf numFmtId="0" fontId="40" fillId="0" borderId="17" xfId="41" applyFont="1" applyBorder="1"/>
    <xf numFmtId="0" fontId="40" fillId="0" borderId="11" xfId="41" applyFont="1" applyBorder="1"/>
    <xf numFmtId="0" fontId="40" fillId="0" borderId="11" xfId="41" applyFont="1" applyBorder="1" applyAlignment="1">
      <alignment horizontal="right"/>
    </xf>
    <xf numFmtId="0" fontId="40" fillId="0" borderId="0" xfId="41" applyFont="1" applyBorder="1" applyAlignment="1">
      <alignment horizontal="left"/>
    </xf>
    <xf numFmtId="0" fontId="40" fillId="0" borderId="11" xfId="41" applyFont="1" applyBorder="1" applyAlignment="1">
      <alignment horizontal="left"/>
    </xf>
    <xf numFmtId="0" fontId="40" fillId="0" borderId="0" xfId="41" applyFont="1" applyBorder="1"/>
    <xf numFmtId="0" fontId="25" fillId="0" borderId="11" xfId="41" applyBorder="1" applyAlignment="1">
      <alignment horizontal="center"/>
    </xf>
    <xf numFmtId="0" fontId="30" fillId="0" borderId="0" xfId="41" applyFont="1" applyFill="1" applyBorder="1" applyAlignment="1" applyProtection="1">
      <alignment horizontal="left"/>
      <protection locked="0"/>
    </xf>
    <xf numFmtId="0" fontId="30" fillId="0" borderId="0" xfId="41" applyFont="1" applyFill="1" applyBorder="1" applyAlignment="1" applyProtection="1">
      <alignment horizontal="center"/>
      <protection locked="0"/>
    </xf>
    <xf numFmtId="0" fontId="1" fillId="0" borderId="0" xfId="40" applyFill="1" applyBorder="1"/>
    <xf numFmtId="0" fontId="26" fillId="0" borderId="0" xfId="40" applyFont="1" applyFill="1" applyBorder="1" applyAlignment="1">
      <alignment horizontal="center"/>
    </xf>
    <xf numFmtId="0" fontId="26" fillId="0" borderId="0" xfId="40" applyFont="1" applyFill="1" applyBorder="1"/>
    <xf numFmtId="0" fontId="1" fillId="0" borderId="0" xfId="40" applyFill="1" applyBorder="1" applyAlignment="1">
      <alignment horizontal="center"/>
    </xf>
    <xf numFmtId="0" fontId="43" fillId="24" borderId="0" xfId="41" applyFont="1" applyFill="1" applyBorder="1" applyAlignment="1" applyProtection="1">
      <alignment horizontal="center"/>
      <protection locked="0"/>
    </xf>
    <xf numFmtId="0" fontId="1" fillId="0" borderId="11" xfId="40" applyFont="1" applyFill="1" applyBorder="1" applyAlignment="1">
      <alignment horizontal="center"/>
    </xf>
    <xf numFmtId="0" fontId="1" fillId="0" borderId="0" xfId="40" applyFont="1" applyFill="1" applyAlignment="1">
      <alignment horizontal="center"/>
    </xf>
    <xf numFmtId="164" fontId="1" fillId="0" borderId="18" xfId="40" applyNumberFormat="1" applyFill="1" applyBorder="1"/>
    <xf numFmtId="0" fontId="1" fillId="24" borderId="19" xfId="40" applyFill="1" applyBorder="1"/>
    <xf numFmtId="0" fontId="20" fillId="24" borderId="20" xfId="40" applyFont="1" applyFill="1" applyBorder="1" applyAlignment="1">
      <alignment horizontal="center"/>
    </xf>
    <xf numFmtId="0" fontId="1" fillId="24" borderId="20" xfId="40" applyFont="1" applyFill="1" applyBorder="1" applyAlignment="1">
      <alignment horizontal="center"/>
    </xf>
    <xf numFmtId="44" fontId="1" fillId="24" borderId="20" xfId="29" applyFont="1" applyFill="1" applyBorder="1" applyAlignment="1">
      <alignment horizontal="center"/>
    </xf>
    <xf numFmtId="0" fontId="1" fillId="24" borderId="20" xfId="40" applyFill="1" applyBorder="1"/>
    <xf numFmtId="164" fontId="1" fillId="25" borderId="12" xfId="40" applyNumberFormat="1" applyFont="1" applyFill="1" applyBorder="1"/>
    <xf numFmtId="0" fontId="26" fillId="29" borderId="10" xfId="40" applyFont="1" applyFill="1" applyBorder="1" applyAlignment="1">
      <alignment horizontal="center"/>
    </xf>
    <xf numFmtId="0" fontId="23" fillId="0" borderId="0" xfId="40" applyFont="1" applyAlignment="1">
      <alignment horizontal="center"/>
    </xf>
    <xf numFmtId="167" fontId="28" fillId="0" borderId="0" xfId="40" applyNumberFormat="1" applyFont="1" applyAlignment="1">
      <alignment horizontal="center"/>
    </xf>
    <xf numFmtId="167" fontId="28" fillId="0" borderId="0" xfId="40" quotePrefix="1" applyNumberFormat="1" applyFont="1" applyAlignment="1">
      <alignment horizontal="center"/>
    </xf>
    <xf numFmtId="0" fontId="28" fillId="27" borderId="0" xfId="40" applyFont="1" applyFill="1" applyAlignment="1"/>
    <xf numFmtId="0" fontId="23" fillId="0" borderId="0" xfId="40" applyFont="1" applyFill="1" applyAlignment="1"/>
    <xf numFmtId="0" fontId="23" fillId="0" borderId="0" xfId="40" applyFont="1" applyFill="1"/>
    <xf numFmtId="0" fontId="23" fillId="0" borderId="0" xfId="40" applyFont="1" applyFill="1" applyBorder="1" applyAlignment="1"/>
    <xf numFmtId="0" fontId="1" fillId="28" borderId="0" xfId="40" applyFill="1" applyBorder="1" applyAlignment="1">
      <alignment horizontal="right"/>
    </xf>
    <xf numFmtId="0" fontId="22" fillId="28" borderId="0" xfId="40" applyFont="1" applyFill="1" applyBorder="1" applyAlignment="1">
      <alignment horizontal="center"/>
    </xf>
    <xf numFmtId="0" fontId="1" fillId="0" borderId="0" xfId="40" applyBorder="1" applyAlignment="1">
      <alignment horizontal="center"/>
    </xf>
    <xf numFmtId="0" fontId="1" fillId="0" borderId="19" xfId="40" applyBorder="1"/>
    <xf numFmtId="0" fontId="23" fillId="0" borderId="21" xfId="40" applyFont="1" applyFill="1" applyBorder="1" applyAlignment="1"/>
    <xf numFmtId="0" fontId="1" fillId="0" borderId="20" xfId="40" applyBorder="1"/>
    <xf numFmtId="0" fontId="1" fillId="0" borderId="20" xfId="40" applyFill="1" applyBorder="1"/>
    <xf numFmtId="44" fontId="1" fillId="0" borderId="21" xfId="29" applyFont="1" applyFill="1" applyBorder="1" applyAlignment="1">
      <alignment horizontal="center"/>
    </xf>
    <xf numFmtId="44" fontId="1" fillId="0" borderId="20" xfId="29" applyFont="1" applyFill="1" applyBorder="1" applyAlignment="1">
      <alignment horizontal="center"/>
    </xf>
    <xf numFmtId="44" fontId="1" fillId="0" borderId="21" xfId="29" applyFont="1" applyBorder="1" applyAlignment="1">
      <alignment horizontal="center"/>
    </xf>
    <xf numFmtId="44" fontId="1" fillId="0" borderId="22" xfId="29" applyFont="1" applyFill="1" applyBorder="1"/>
    <xf numFmtId="167" fontId="1" fillId="0" borderId="23" xfId="40" applyNumberFormat="1" applyFill="1" applyBorder="1" applyAlignment="1">
      <alignment horizontal="center"/>
    </xf>
    <xf numFmtId="44" fontId="1" fillId="25" borderId="22" xfId="29" applyFont="1" applyFill="1" applyBorder="1"/>
    <xf numFmtId="167" fontId="1" fillId="25" borderId="23" xfId="40" applyNumberFormat="1" applyFont="1" applyFill="1" applyBorder="1" applyAlignment="1">
      <alignment horizontal="center"/>
    </xf>
    <xf numFmtId="167" fontId="1" fillId="25" borderId="23" xfId="40" applyNumberFormat="1" applyFill="1" applyBorder="1" applyAlignment="1">
      <alignment horizontal="center"/>
    </xf>
    <xf numFmtId="44" fontId="1" fillId="0" borderId="22" xfId="29" applyFont="1" applyBorder="1"/>
    <xf numFmtId="0" fontId="23" fillId="30" borderId="10" xfId="40" applyFont="1" applyFill="1" applyBorder="1" applyAlignment="1">
      <alignment horizontal="center"/>
    </xf>
    <xf numFmtId="167" fontId="28" fillId="30" borderId="10" xfId="40" applyNumberFormat="1" applyFont="1" applyFill="1" applyBorder="1" applyAlignment="1">
      <alignment horizontal="center"/>
    </xf>
    <xf numFmtId="0" fontId="1" fillId="30" borderId="10" xfId="40" applyFill="1" applyBorder="1"/>
    <xf numFmtId="0" fontId="1" fillId="25" borderId="0" xfId="40" applyFill="1"/>
    <xf numFmtId="167" fontId="28" fillId="25" borderId="0" xfId="40" applyNumberFormat="1" applyFont="1" applyFill="1" applyAlignment="1">
      <alignment horizontal="center"/>
    </xf>
    <xf numFmtId="44" fontId="1" fillId="31" borderId="24" xfId="29" applyFont="1" applyFill="1" applyBorder="1"/>
    <xf numFmtId="14" fontId="1" fillId="31" borderId="25" xfId="40" applyNumberFormat="1" applyFill="1" applyBorder="1" applyAlignment="1">
      <alignment horizontal="center"/>
    </xf>
    <xf numFmtId="0" fontId="20" fillId="31" borderId="25" xfId="40" applyFont="1" applyFill="1" applyBorder="1" applyAlignment="1">
      <alignment horizontal="right"/>
    </xf>
    <xf numFmtId="0" fontId="21" fillId="31" borderId="25" xfId="40" applyFont="1" applyFill="1" applyBorder="1" applyAlignment="1">
      <alignment horizontal="center"/>
    </xf>
    <xf numFmtId="0" fontId="1" fillId="29" borderId="10" xfId="40" applyFill="1" applyBorder="1" applyAlignment="1">
      <alignment horizontal="center"/>
    </xf>
    <xf numFmtId="0" fontId="26" fillId="32" borderId="10" xfId="40" applyFont="1" applyFill="1" applyBorder="1" applyAlignment="1">
      <alignment horizontal="center"/>
    </xf>
    <xf numFmtId="0" fontId="1" fillId="32" borderId="10" xfId="40" applyFill="1" applyBorder="1"/>
    <xf numFmtId="0" fontId="46" fillId="24" borderId="10" xfId="40" applyFont="1" applyFill="1" applyBorder="1" applyAlignment="1">
      <alignment horizontal="center"/>
    </xf>
    <xf numFmtId="0" fontId="46" fillId="29" borderId="10" xfId="40" applyFont="1" applyFill="1" applyBorder="1" applyAlignment="1">
      <alignment horizontal="center"/>
    </xf>
    <xf numFmtId="0" fontId="46" fillId="32" borderId="10" xfId="40" applyFont="1" applyFill="1" applyBorder="1" applyAlignment="1">
      <alignment horizontal="center"/>
    </xf>
    <xf numFmtId="0" fontId="48" fillId="24" borderId="10" xfId="40" applyFont="1" applyFill="1" applyBorder="1" applyAlignment="1">
      <alignment horizontal="center"/>
    </xf>
    <xf numFmtId="0" fontId="48" fillId="29" borderId="26" xfId="40" applyFont="1" applyFill="1" applyBorder="1" applyAlignment="1">
      <alignment horizontal="center"/>
    </xf>
    <xf numFmtId="0" fontId="48" fillId="32" borderId="26" xfId="40" applyFont="1" applyFill="1" applyBorder="1" applyAlignment="1">
      <alignment horizontal="center"/>
    </xf>
    <xf numFmtId="0" fontId="24" fillId="30" borderId="26" xfId="40" applyFont="1" applyFill="1" applyBorder="1" applyAlignment="1">
      <alignment horizontal="center"/>
    </xf>
    <xf numFmtId="0" fontId="24" fillId="30" borderId="10" xfId="40" applyFont="1" applyFill="1" applyBorder="1" applyAlignment="1">
      <alignment horizontal="center"/>
    </xf>
    <xf numFmtId="0" fontId="49" fillId="33" borderId="10" xfId="40" applyFont="1" applyFill="1" applyBorder="1" applyAlignment="1">
      <alignment horizontal="center"/>
    </xf>
    <xf numFmtId="0" fontId="1" fillId="33" borderId="19" xfId="40" applyFill="1" applyBorder="1"/>
    <xf numFmtId="0" fontId="20" fillId="33" borderId="20" xfId="40" applyFont="1" applyFill="1" applyBorder="1" applyAlignment="1">
      <alignment horizontal="center"/>
    </xf>
    <xf numFmtId="0" fontId="26" fillId="33" borderId="10" xfId="40" applyFont="1" applyFill="1" applyBorder="1" applyAlignment="1">
      <alignment horizontal="center"/>
    </xf>
    <xf numFmtId="0" fontId="1" fillId="33" borderId="20" xfId="40" applyFont="1" applyFill="1" applyBorder="1" applyAlignment="1">
      <alignment horizontal="center"/>
    </xf>
    <xf numFmtId="44" fontId="47" fillId="33" borderId="10" xfId="29" applyFont="1" applyFill="1" applyBorder="1" applyAlignment="1">
      <alignment horizontal="center"/>
    </xf>
    <xf numFmtId="44" fontId="1" fillId="33" borderId="20" xfId="29" applyFont="1" applyFill="1" applyBorder="1" applyAlignment="1">
      <alignment horizontal="center"/>
    </xf>
    <xf numFmtId="0" fontId="1" fillId="33" borderId="10" xfId="40" applyFill="1" applyBorder="1"/>
    <xf numFmtId="0" fontId="1" fillId="33" borderId="20" xfId="40" applyFill="1" applyBorder="1"/>
    <xf numFmtId="164" fontId="17" fillId="33" borderId="27" xfId="40" applyNumberFormat="1" applyFont="1" applyFill="1" applyBorder="1"/>
    <xf numFmtId="164" fontId="17" fillId="25" borderId="27" xfId="40" applyNumberFormat="1" applyFont="1" applyFill="1" applyBorder="1"/>
    <xf numFmtId="164" fontId="17" fillId="24" borderId="27" xfId="40" applyNumberFormat="1" applyFont="1" applyFill="1" applyBorder="1"/>
    <xf numFmtId="9" fontId="50" fillId="24" borderId="28" xfId="44" applyFont="1" applyFill="1" applyBorder="1"/>
    <xf numFmtId="9" fontId="50" fillId="25" borderId="28" xfId="44" applyFont="1" applyFill="1" applyBorder="1"/>
    <xf numFmtId="9" fontId="50" fillId="33" borderId="28" xfId="44" applyFont="1" applyFill="1" applyBorder="1"/>
    <xf numFmtId="44" fontId="17" fillId="29" borderId="27" xfId="29" applyFont="1" applyFill="1" applyBorder="1" applyAlignment="1">
      <alignment horizontal="center"/>
    </xf>
    <xf numFmtId="44" fontId="17" fillId="25" borderId="27" xfId="29" applyFont="1" applyFill="1" applyBorder="1" applyAlignment="1">
      <alignment horizontal="center"/>
    </xf>
    <xf numFmtId="44" fontId="17" fillId="32" borderId="27" xfId="29" applyFont="1" applyFill="1" applyBorder="1"/>
    <xf numFmtId="0" fontId="30" fillId="0" borderId="0" xfId="41" applyFont="1"/>
    <xf numFmtId="0" fontId="31" fillId="0" borderId="0" xfId="41" applyFont="1"/>
    <xf numFmtId="0" fontId="32" fillId="27" borderId="0" xfId="41" applyFont="1" applyFill="1"/>
    <xf numFmtId="0" fontId="33" fillId="27" borderId="0" xfId="41" applyFont="1" applyFill="1"/>
    <xf numFmtId="0" fontId="34" fillId="24" borderId="29" xfId="41" applyFont="1" applyFill="1" applyBorder="1" applyAlignment="1">
      <alignment horizontal="left" vertical="center"/>
    </xf>
    <xf numFmtId="0" fontId="30" fillId="24" borderId="12" xfId="41" applyFont="1" applyFill="1" applyBorder="1" applyAlignment="1" applyProtection="1">
      <alignment horizontal="center"/>
      <protection locked="0"/>
    </xf>
    <xf numFmtId="0" fontId="30" fillId="24" borderId="30" xfId="41" applyFont="1" applyFill="1" applyBorder="1" applyAlignment="1" applyProtection="1">
      <alignment horizontal="center"/>
      <protection locked="0"/>
    </xf>
    <xf numFmtId="0" fontId="30" fillId="24" borderId="29" xfId="41" applyFont="1" applyFill="1" applyBorder="1" applyAlignment="1" applyProtection="1">
      <alignment horizontal="left"/>
      <protection locked="0"/>
    </xf>
    <xf numFmtId="0" fontId="30" fillId="24" borderId="30" xfId="41" applyFont="1" applyFill="1" applyBorder="1" applyAlignment="1" applyProtection="1">
      <alignment horizontal="left"/>
      <protection locked="0"/>
    </xf>
    <xf numFmtId="169" fontId="25" fillId="0" borderId="0" xfId="28" applyNumberFormat="1" applyFont="1"/>
    <xf numFmtId="0" fontId="30" fillId="24" borderId="31" xfId="41" applyFont="1" applyFill="1" applyBorder="1" applyAlignment="1" applyProtection="1">
      <alignment horizontal="left"/>
      <protection locked="0"/>
    </xf>
    <xf numFmtId="0" fontId="35" fillId="0" borderId="0" xfId="41" applyFont="1"/>
    <xf numFmtId="0" fontId="25" fillId="27" borderId="26" xfId="41" applyFill="1" applyBorder="1" applyAlignment="1">
      <alignment horizontal="center"/>
    </xf>
    <xf numFmtId="0" fontId="30" fillId="24" borderId="11" xfId="41" applyFont="1" applyFill="1" applyBorder="1" applyAlignment="1" applyProtection="1">
      <alignment horizontal="center"/>
      <protection locked="0"/>
    </xf>
    <xf numFmtId="165" fontId="25" fillId="0" borderId="0" xfId="28" applyFont="1"/>
    <xf numFmtId="0" fontId="25" fillId="27" borderId="10" xfId="41" applyFill="1" applyBorder="1" applyAlignment="1">
      <alignment horizontal="center"/>
    </xf>
    <xf numFmtId="0" fontId="36" fillId="0" borderId="0" xfId="41" applyFont="1"/>
    <xf numFmtId="0" fontId="57" fillId="0" borderId="0" xfId="41" applyFont="1" applyAlignment="1">
      <alignment horizontal="right"/>
    </xf>
    <xf numFmtId="164" fontId="25" fillId="27" borderId="0" xfId="30" applyFill="1"/>
    <xf numFmtId="164" fontId="25" fillId="27" borderId="10" xfId="30" applyFill="1" applyBorder="1"/>
    <xf numFmtId="0" fontId="25" fillId="0" borderId="15" xfId="41" applyBorder="1"/>
    <xf numFmtId="0" fontId="25" fillId="0" borderId="32" xfId="41" applyBorder="1"/>
    <xf numFmtId="165" fontId="25" fillId="0" borderId="13" xfId="28" applyNumberFormat="1" applyBorder="1"/>
    <xf numFmtId="0" fontId="30" fillId="24" borderId="11" xfId="41" applyFont="1" applyFill="1" applyBorder="1" applyProtection="1">
      <protection locked="0"/>
    </xf>
    <xf numFmtId="0" fontId="25" fillId="0" borderId="16" xfId="41" applyBorder="1"/>
    <xf numFmtId="0" fontId="25" fillId="0" borderId="33" xfId="41" applyBorder="1"/>
    <xf numFmtId="165" fontId="25" fillId="0" borderId="34" xfId="28" applyNumberFormat="1" applyBorder="1"/>
    <xf numFmtId="164" fontId="25" fillId="0" borderId="0" xfId="30"/>
    <xf numFmtId="0" fontId="37" fillId="0" borderId="11" xfId="41" applyFont="1" applyBorder="1"/>
    <xf numFmtId="0" fontId="30" fillId="0" borderId="11" xfId="41" applyFont="1" applyBorder="1"/>
    <xf numFmtId="0" fontId="57" fillId="0" borderId="15" xfId="41" applyFont="1" applyBorder="1" applyAlignment="1">
      <alignment horizontal="right"/>
    </xf>
    <xf numFmtId="165" fontId="25" fillId="0" borderId="13" xfId="28" applyFont="1" applyBorder="1"/>
    <xf numFmtId="0" fontId="25" fillId="0" borderId="17" xfId="41" applyBorder="1"/>
    <xf numFmtId="0" fontId="25" fillId="0" borderId="31" xfId="41" applyBorder="1"/>
    <xf numFmtId="165" fontId="25" fillId="0" borderId="14" xfId="28" applyNumberFormat="1" applyBorder="1"/>
    <xf numFmtId="0" fontId="57" fillId="0" borderId="17" xfId="41" applyFont="1" applyFill="1" applyBorder="1" applyAlignment="1">
      <alignment horizontal="right"/>
    </xf>
    <xf numFmtId="165" fontId="25" fillId="0" borderId="14" xfId="28" applyFont="1" applyBorder="1"/>
    <xf numFmtId="165" fontId="25" fillId="0" borderId="0" xfId="28" applyNumberFormat="1"/>
    <xf numFmtId="0" fontId="30" fillId="27" borderId="29" xfId="41" applyFont="1" applyFill="1" applyBorder="1" applyAlignment="1">
      <alignment horizontal="center"/>
    </xf>
    <xf numFmtId="0" fontId="25" fillId="0" borderId="18" xfId="41" applyBorder="1"/>
    <xf numFmtId="0" fontId="25" fillId="0" borderId="18" xfId="41" applyBorder="1" applyAlignment="1">
      <alignment horizontal="right"/>
    </xf>
    <xf numFmtId="165" fontId="25" fillId="0" borderId="18" xfId="28" applyNumberFormat="1" applyBorder="1"/>
    <xf numFmtId="165" fontId="25" fillId="0" borderId="0" xfId="41" applyNumberFormat="1"/>
    <xf numFmtId="0" fontId="25" fillId="0" borderId="35" xfId="41" applyBorder="1"/>
    <xf numFmtId="0" fontId="25" fillId="0" borderId="35" xfId="41" applyBorder="1" applyAlignment="1">
      <alignment horizontal="right"/>
    </xf>
    <xf numFmtId="165" fontId="25" fillId="0" borderId="35" xfId="28" applyNumberFormat="1" applyBorder="1"/>
    <xf numFmtId="165" fontId="25" fillId="0" borderId="11" xfId="28" applyBorder="1"/>
    <xf numFmtId="164" fontId="25" fillId="27" borderId="36" xfId="30" applyFill="1" applyBorder="1"/>
    <xf numFmtId="165" fontId="30" fillId="0" borderId="11" xfId="28" applyFont="1" applyBorder="1"/>
    <xf numFmtId="2" fontId="39" fillId="0" borderId="0" xfId="41" applyNumberFormat="1" applyFont="1"/>
    <xf numFmtId="165" fontId="25" fillId="0" borderId="0" xfId="28"/>
    <xf numFmtId="2" fontId="34" fillId="0" borderId="0" xfId="41" applyNumberFormat="1" applyFont="1"/>
    <xf numFmtId="0" fontId="40" fillId="0" borderId="13" xfId="41" applyFont="1" applyBorder="1" applyAlignment="1">
      <alignment horizontal="left"/>
    </xf>
    <xf numFmtId="0" fontId="40" fillId="0" borderId="34" xfId="41" applyFont="1" applyBorder="1" applyAlignment="1">
      <alignment horizontal="left"/>
    </xf>
    <xf numFmtId="0" fontId="40" fillId="0" borderId="14" xfId="41" applyFont="1" applyBorder="1" applyAlignment="1">
      <alignment horizontal="left"/>
    </xf>
    <xf numFmtId="0" fontId="25" fillId="0" borderId="0" xfId="41" applyAlignment="1">
      <alignment horizontal="left"/>
    </xf>
    <xf numFmtId="0" fontId="28" fillId="27" borderId="0" xfId="40" applyFont="1" applyFill="1" applyBorder="1" applyAlignment="1"/>
    <xf numFmtId="0" fontId="0" fillId="0" borderId="11" xfId="0" applyBorder="1"/>
    <xf numFmtId="44" fontId="1" fillId="0" borderId="11" xfId="29" applyFont="1" applyFill="1" applyBorder="1" applyAlignment="1">
      <alignment horizontal="center"/>
    </xf>
    <xf numFmtId="167" fontId="1" fillId="0" borderId="11" xfId="40" applyNumberFormat="1" applyFill="1" applyBorder="1" applyAlignment="1">
      <alignment horizontal="center"/>
    </xf>
    <xf numFmtId="167" fontId="1" fillId="25" borderId="11" xfId="40" applyNumberFormat="1" applyFont="1" applyFill="1" applyBorder="1" applyAlignment="1">
      <alignment horizontal="center"/>
    </xf>
    <xf numFmtId="167" fontId="1" fillId="25" borderId="11" xfId="40" applyNumberFormat="1" applyFill="1" applyBorder="1" applyAlignment="1">
      <alignment horizontal="center"/>
    </xf>
    <xf numFmtId="0" fontId="43" fillId="24" borderId="0" xfId="41" applyFont="1" applyFill="1" applyBorder="1" applyAlignment="1" applyProtection="1">
      <alignment horizontal="left"/>
      <protection locked="0"/>
    </xf>
    <xf numFmtId="0" fontId="43" fillId="24" borderId="0" xfId="41" applyFont="1" applyFill="1" applyBorder="1" applyAlignment="1" applyProtection="1">
      <protection locked="0"/>
    </xf>
    <xf numFmtId="0" fontId="25" fillId="0" borderId="0" xfId="41" applyProtection="1">
      <protection locked="0"/>
    </xf>
    <xf numFmtId="0" fontId="25" fillId="0" borderId="0" xfId="41" applyAlignment="1" applyProtection="1">
      <alignment horizontal="center"/>
      <protection locked="0"/>
    </xf>
    <xf numFmtId="0" fontId="25" fillId="0" borderId="0" xfId="41" applyFill="1" applyProtection="1">
      <protection locked="0"/>
    </xf>
    <xf numFmtId="0" fontId="30" fillId="0" borderId="24" xfId="41" applyFont="1" applyBorder="1" applyProtection="1">
      <protection locked="0"/>
    </xf>
    <xf numFmtId="0" fontId="25" fillId="0" borderId="25" xfId="41" applyBorder="1" applyAlignment="1" applyProtection="1">
      <alignment horizontal="center"/>
      <protection locked="0"/>
    </xf>
    <xf numFmtId="0" fontId="25" fillId="0" borderId="25" xfId="41" applyBorder="1" applyProtection="1">
      <protection locked="0"/>
    </xf>
    <xf numFmtId="0" fontId="25" fillId="0" borderId="19" xfId="41" applyBorder="1" applyProtection="1">
      <protection locked="0"/>
    </xf>
    <xf numFmtId="0" fontId="20" fillId="0" borderId="0" xfId="40" applyFont="1" applyFill="1" applyBorder="1" applyAlignment="1" applyProtection="1">
      <alignment horizontal="left"/>
      <protection locked="0"/>
    </xf>
    <xf numFmtId="0" fontId="25" fillId="0" borderId="0" xfId="41" applyFont="1" applyFill="1" applyBorder="1" applyProtection="1">
      <protection locked="0"/>
    </xf>
    <xf numFmtId="0" fontId="21" fillId="0" borderId="0" xfId="40" applyFont="1" applyFill="1" applyBorder="1" applyAlignment="1" applyProtection="1">
      <alignment horizontal="center"/>
      <protection locked="0"/>
    </xf>
    <xf numFmtId="0" fontId="23" fillId="0" borderId="0" xfId="40" applyFont="1" applyFill="1" applyBorder="1" applyAlignment="1" applyProtection="1">
      <alignment horizontal="center"/>
      <protection locked="0"/>
    </xf>
    <xf numFmtId="0" fontId="1" fillId="0" borderId="0" xfId="40" applyFill="1" applyBorder="1" applyProtection="1">
      <protection locked="0"/>
    </xf>
    <xf numFmtId="0" fontId="26" fillId="0" borderId="0" xfId="40" applyFont="1" applyFill="1" applyBorder="1" applyAlignment="1" applyProtection="1">
      <alignment horizontal="center"/>
      <protection locked="0"/>
    </xf>
    <xf numFmtId="0" fontId="25" fillId="0" borderId="0" xfId="41" applyBorder="1" applyProtection="1">
      <protection locked="0"/>
    </xf>
    <xf numFmtId="0" fontId="31" fillId="0" borderId="21" xfId="41" applyFont="1" applyBorder="1" applyProtection="1">
      <protection locked="0"/>
    </xf>
    <xf numFmtId="0" fontId="32" fillId="0" borderId="0" xfId="41" applyFont="1" applyFill="1" applyBorder="1" applyAlignment="1" applyProtection="1">
      <alignment horizontal="center"/>
      <protection locked="0"/>
    </xf>
    <xf numFmtId="0" fontId="33" fillId="0" borderId="0" xfId="41" applyFont="1" applyFill="1" applyBorder="1" applyProtection="1">
      <protection locked="0"/>
    </xf>
    <xf numFmtId="0" fontId="33" fillId="0" borderId="20" xfId="41" applyFont="1" applyFill="1" applyBorder="1" applyProtection="1">
      <protection locked="0"/>
    </xf>
    <xf numFmtId="0" fontId="1" fillId="0" borderId="0" xfId="40" applyFill="1" applyBorder="1" applyAlignment="1" applyProtection="1">
      <alignment horizontal="left"/>
      <protection locked="0"/>
    </xf>
    <xf numFmtId="0" fontId="25" fillId="0" borderId="0" xfId="41" applyFill="1" applyBorder="1" applyProtection="1">
      <protection locked="0"/>
    </xf>
    <xf numFmtId="0" fontId="22" fillId="0" borderId="0" xfId="40" applyFont="1" applyFill="1" applyBorder="1" applyAlignment="1" applyProtection="1">
      <alignment horizontal="center"/>
      <protection locked="0"/>
    </xf>
    <xf numFmtId="0" fontId="26" fillId="0" borderId="0" xfId="40" applyFont="1" applyFill="1" applyBorder="1" applyProtection="1">
      <protection locked="0"/>
    </xf>
    <xf numFmtId="0" fontId="20" fillId="0" borderId="0" xfId="40" applyFont="1" applyFill="1" applyBorder="1" applyAlignment="1" applyProtection="1">
      <alignment horizontal="center"/>
      <protection locked="0"/>
    </xf>
    <xf numFmtId="0" fontId="27" fillId="0" borderId="0" xfId="40" applyFont="1" applyFill="1" applyBorder="1" applyAlignment="1" applyProtection="1">
      <alignment horizontal="center"/>
      <protection locked="0"/>
    </xf>
    <xf numFmtId="0" fontId="33" fillId="0" borderId="0" xfId="41" applyFont="1" applyFill="1" applyProtection="1">
      <protection locked="0"/>
    </xf>
    <xf numFmtId="0" fontId="25" fillId="0" borderId="21" xfId="41" applyFill="1" applyBorder="1" applyProtection="1">
      <protection locked="0"/>
    </xf>
    <xf numFmtId="0" fontId="25" fillId="0" borderId="20" xfId="41" applyBorder="1" applyAlignment="1" applyProtection="1">
      <alignment horizontal="right"/>
      <protection locked="0"/>
    </xf>
    <xf numFmtId="44" fontId="26" fillId="0" borderId="0" xfId="29" applyFont="1" applyFill="1" applyBorder="1" applyAlignment="1" applyProtection="1">
      <alignment horizontal="center"/>
      <protection locked="0"/>
    </xf>
    <xf numFmtId="0" fontId="1" fillId="0" borderId="0" xfId="40" applyFill="1" applyBorder="1" applyAlignment="1" applyProtection="1">
      <alignment horizontal="center"/>
      <protection locked="0"/>
    </xf>
    <xf numFmtId="169" fontId="25" fillId="0" borderId="0" xfId="28" applyNumberFormat="1" applyFont="1" applyFill="1" applyProtection="1">
      <protection locked="0"/>
    </xf>
    <xf numFmtId="0" fontId="30" fillId="0" borderId="0" xfId="41" applyFont="1" applyFill="1" applyProtection="1">
      <protection locked="0"/>
    </xf>
    <xf numFmtId="0" fontId="42" fillId="0" borderId="21" xfId="41" applyFont="1" applyBorder="1" applyProtection="1">
      <protection locked="0"/>
    </xf>
    <xf numFmtId="0" fontId="35" fillId="0" borderId="0" xfId="41" applyFont="1" applyBorder="1" applyProtection="1">
      <protection locked="0"/>
    </xf>
    <xf numFmtId="0" fontId="25" fillId="0" borderId="20" xfId="41" applyBorder="1" applyProtection="1">
      <protection locked="0"/>
    </xf>
    <xf numFmtId="44" fontId="1" fillId="0" borderId="0" xfId="29" applyFont="1" applyFill="1" applyBorder="1" applyAlignment="1" applyProtection="1">
      <alignment horizontal="center"/>
      <protection locked="0"/>
    </xf>
    <xf numFmtId="0" fontId="24" fillId="0" borderId="0" xfId="40" applyFont="1" applyFill="1" applyBorder="1" applyAlignment="1" applyProtection="1">
      <alignment horizontal="center"/>
      <protection locked="0"/>
    </xf>
    <xf numFmtId="0" fontId="25" fillId="0" borderId="26" xfId="41" applyFill="1" applyBorder="1" applyAlignment="1" applyProtection="1">
      <alignment horizontal="center"/>
      <protection locked="0"/>
    </xf>
    <xf numFmtId="0" fontId="42" fillId="0" borderId="21" xfId="41" applyFont="1" applyBorder="1" applyAlignment="1" applyProtection="1">
      <alignment horizontal="right"/>
      <protection locked="0"/>
    </xf>
    <xf numFmtId="165" fontId="25" fillId="0" borderId="0" xfId="28" applyFont="1" applyBorder="1" applyProtection="1">
      <protection locked="0"/>
    </xf>
    <xf numFmtId="0" fontId="59" fillId="0" borderId="0" xfId="40" applyFont="1" applyFill="1" applyBorder="1" applyAlignment="1" applyProtection="1">
      <alignment horizontal="center"/>
      <protection locked="0"/>
    </xf>
    <xf numFmtId="0" fontId="56" fillId="0" borderId="0" xfId="40" applyFont="1" applyFill="1" applyBorder="1" applyProtection="1">
      <protection locked="0"/>
    </xf>
    <xf numFmtId="0" fontId="25" fillId="0" borderId="10" xfId="41" applyFill="1" applyBorder="1" applyAlignment="1" applyProtection="1">
      <alignment horizontal="center"/>
      <protection locked="0"/>
    </xf>
    <xf numFmtId="0" fontId="19" fillId="0" borderId="0" xfId="40" applyFont="1" applyFill="1" applyBorder="1" applyAlignment="1" applyProtection="1">
      <alignment horizontal="center" vertical="center"/>
      <protection locked="0"/>
    </xf>
    <xf numFmtId="44" fontId="1" fillId="0" borderId="0" xfId="29" applyFont="1" applyFill="1" applyBorder="1" applyProtection="1">
      <protection locked="0"/>
    </xf>
    <xf numFmtId="14" fontId="1" fillId="0" borderId="0" xfId="40" applyNumberFormat="1" applyFill="1" applyBorder="1" applyAlignment="1" applyProtection="1">
      <alignment horizontal="center"/>
      <protection locked="0"/>
    </xf>
    <xf numFmtId="0" fontId="20" fillId="0" borderId="0" xfId="40" applyFont="1" applyFill="1" applyBorder="1" applyAlignment="1" applyProtection="1">
      <alignment horizontal="right"/>
      <protection locked="0"/>
    </xf>
    <xf numFmtId="166" fontId="25" fillId="0" borderId="0" xfId="29" applyNumberFormat="1" applyFont="1" applyFill="1" applyBorder="1" applyAlignment="1" applyProtection="1">
      <alignment horizontal="center"/>
      <protection locked="0"/>
    </xf>
    <xf numFmtId="37" fontId="25" fillId="0" borderId="0" xfId="29" applyNumberFormat="1" applyFont="1" applyFill="1" applyBorder="1" applyAlignment="1" applyProtection="1">
      <alignment horizontal="center"/>
      <protection locked="0"/>
    </xf>
    <xf numFmtId="44" fontId="1" fillId="0" borderId="0" xfId="40" applyNumberFormat="1" applyFill="1" applyBorder="1" applyAlignment="1" applyProtection="1">
      <alignment horizontal="center"/>
      <protection locked="0"/>
    </xf>
    <xf numFmtId="44" fontId="60" fillId="27" borderId="0" xfId="40" applyNumberFormat="1" applyFont="1" applyFill="1" applyBorder="1" applyAlignment="1" applyProtection="1">
      <alignment horizontal="center"/>
      <protection locked="0"/>
    </xf>
    <xf numFmtId="44" fontId="56" fillId="0" borderId="0" xfId="40" applyNumberFormat="1" applyFont="1" applyFill="1" applyBorder="1" applyProtection="1">
      <protection locked="0"/>
    </xf>
    <xf numFmtId="0" fontId="61" fillId="27" borderId="0" xfId="41" applyFont="1" applyFill="1" applyAlignment="1" applyProtection="1">
      <alignment horizontal="center"/>
      <protection locked="0"/>
    </xf>
    <xf numFmtId="44" fontId="1" fillId="0" borderId="0" xfId="40" applyNumberFormat="1" applyFill="1" applyBorder="1" applyProtection="1">
      <protection locked="0"/>
    </xf>
    <xf numFmtId="0" fontId="1" fillId="0" borderId="0" xfId="40" applyFill="1" applyBorder="1" applyAlignment="1" applyProtection="1">
      <alignment horizontal="right"/>
      <protection locked="0"/>
    </xf>
    <xf numFmtId="0" fontId="39" fillId="0" borderId="21" xfId="41" applyFont="1" applyBorder="1" applyAlignment="1" applyProtection="1">
      <alignment horizontal="right"/>
      <protection locked="0"/>
    </xf>
    <xf numFmtId="0" fontId="36" fillId="0" borderId="0" xfId="41" applyFont="1" applyBorder="1" applyProtection="1">
      <protection locked="0"/>
    </xf>
    <xf numFmtId="0" fontId="36" fillId="0" borderId="20" xfId="41" applyFont="1" applyBorder="1" applyProtection="1">
      <protection locked="0"/>
    </xf>
    <xf numFmtId="0" fontId="53" fillId="27" borderId="0" xfId="41" applyFont="1" applyFill="1" applyBorder="1" applyAlignment="1" applyProtection="1">
      <alignment horizontal="center"/>
      <protection locked="0"/>
    </xf>
    <xf numFmtId="2" fontId="56" fillId="27" borderId="0" xfId="40" applyNumberFormat="1" applyFont="1" applyFill="1" applyBorder="1" applyAlignment="1" applyProtection="1">
      <alignment horizontal="center"/>
      <protection locked="0"/>
    </xf>
    <xf numFmtId="2" fontId="54" fillId="27" borderId="0" xfId="40" applyNumberFormat="1" applyFont="1" applyFill="1" applyBorder="1" applyProtection="1">
      <protection locked="0"/>
    </xf>
    <xf numFmtId="164" fontId="25" fillId="0" borderId="0" xfId="30" applyFill="1" applyProtection="1">
      <protection locked="0"/>
    </xf>
    <xf numFmtId="164" fontId="25" fillId="0" borderId="10" xfId="30" applyFill="1" applyBorder="1" applyProtection="1">
      <protection locked="0"/>
    </xf>
    <xf numFmtId="0" fontId="25" fillId="0" borderId="15" xfId="41" applyFill="1" applyBorder="1" applyProtection="1">
      <protection locked="0"/>
    </xf>
    <xf numFmtId="0" fontId="25" fillId="0" borderId="32" xfId="41" applyFill="1" applyBorder="1" applyProtection="1">
      <protection locked="0"/>
    </xf>
    <xf numFmtId="165" fontId="25" fillId="0" borderId="13" xfId="28" applyNumberFormat="1" applyFill="1" applyBorder="1" applyProtection="1">
      <protection locked="0"/>
    </xf>
    <xf numFmtId="0" fontId="34" fillId="0" borderId="0" xfId="41" applyFont="1" applyBorder="1" applyAlignment="1" applyProtection="1">
      <alignment horizontal="center"/>
      <protection locked="0"/>
    </xf>
    <xf numFmtId="44" fontId="1" fillId="0" borderId="0" xfId="40" applyNumberFormat="1" applyFont="1" applyFill="1" applyBorder="1" applyAlignment="1" applyProtection="1">
      <alignment horizontal="center"/>
      <protection locked="0"/>
    </xf>
    <xf numFmtId="7" fontId="55" fillId="0" borderId="0" xfId="40" applyNumberFormat="1" applyFont="1" applyFill="1" applyBorder="1" applyAlignment="1" applyProtection="1">
      <alignment horizontal="center"/>
      <protection locked="0"/>
    </xf>
    <xf numFmtId="0" fontId="25" fillId="0" borderId="16" xfId="41" applyFill="1" applyBorder="1" applyProtection="1">
      <protection locked="0"/>
    </xf>
    <xf numFmtId="0" fontId="25" fillId="0" borderId="33" xfId="41" applyFill="1" applyBorder="1" applyProtection="1">
      <protection locked="0"/>
    </xf>
    <xf numFmtId="165" fontId="25" fillId="0" borderId="34" xfId="28" applyNumberFormat="1" applyFill="1" applyBorder="1" applyProtection="1">
      <protection locked="0"/>
    </xf>
    <xf numFmtId="0" fontId="8" fillId="4" borderId="0" xfId="32" applyProtection="1">
      <protection locked="0"/>
    </xf>
    <xf numFmtId="0" fontId="0" fillId="0" borderId="0" xfId="0" applyProtection="1">
      <protection locked="0"/>
    </xf>
    <xf numFmtId="0" fontId="42" fillId="0" borderId="0" xfId="41" applyFont="1" applyBorder="1" applyAlignment="1" applyProtection="1">
      <alignment horizontal="center"/>
      <protection locked="0"/>
    </xf>
    <xf numFmtId="0" fontId="57" fillId="0" borderId="0" xfId="41" applyFont="1" applyFill="1" applyBorder="1" applyProtection="1">
      <protection locked="0"/>
    </xf>
    <xf numFmtId="44" fontId="25" fillId="0" borderId="0" xfId="29" applyFont="1" applyFill="1" applyBorder="1" applyProtection="1">
      <protection locked="0"/>
    </xf>
    <xf numFmtId="44" fontId="25" fillId="0" borderId="0" xfId="41" applyNumberFormat="1" applyFill="1" applyProtection="1">
      <protection locked="0"/>
    </xf>
    <xf numFmtId="7" fontId="1" fillId="0" borderId="0" xfId="40" applyNumberFormat="1" applyFill="1" applyBorder="1" applyProtection="1">
      <protection locked="0"/>
    </xf>
    <xf numFmtId="44" fontId="54" fillId="0" borderId="0" xfId="40" applyNumberFormat="1" applyFont="1" applyFill="1" applyBorder="1" applyProtection="1">
      <protection locked="0"/>
    </xf>
    <xf numFmtId="7" fontId="58" fillId="0" borderId="0" xfId="41" applyNumberFormat="1" applyFont="1" applyAlignment="1" applyProtection="1">
      <alignment horizontal="center"/>
      <protection locked="0"/>
    </xf>
    <xf numFmtId="0" fontId="25" fillId="0" borderId="21" xfId="41" applyBorder="1" applyProtection="1">
      <protection locked="0"/>
    </xf>
    <xf numFmtId="43" fontId="1" fillId="0" borderId="0" xfId="40" applyNumberFormat="1" applyFill="1" applyBorder="1" applyProtection="1">
      <protection locked="0"/>
    </xf>
    <xf numFmtId="165" fontId="41" fillId="0" borderId="0" xfId="28" applyFont="1" applyFill="1" applyBorder="1" applyAlignment="1" applyProtection="1">
      <alignment horizontal="center"/>
      <protection locked="0"/>
    </xf>
    <xf numFmtId="0" fontId="25" fillId="0" borderId="17" xfId="41" applyFill="1" applyBorder="1" applyProtection="1">
      <protection locked="0"/>
    </xf>
    <xf numFmtId="0" fontId="25" fillId="0" borderId="31" xfId="41" applyFill="1" applyBorder="1" applyProtection="1">
      <protection locked="0"/>
    </xf>
    <xf numFmtId="165" fontId="25" fillId="0" borderId="14" xfId="28" applyNumberFormat="1" applyFill="1" applyBorder="1" applyProtection="1">
      <protection locked="0"/>
    </xf>
    <xf numFmtId="167" fontId="1" fillId="0" borderId="0" xfId="40" applyNumberFormat="1" applyFill="1" applyBorder="1" applyAlignment="1" applyProtection="1">
      <alignment horizontal="center"/>
      <protection locked="0"/>
    </xf>
    <xf numFmtId="164" fontId="1" fillId="0" borderId="0" xfId="40" applyNumberFormat="1" applyFill="1" applyBorder="1" applyProtection="1">
      <protection locked="0"/>
    </xf>
    <xf numFmtId="7" fontId="1" fillId="0" borderId="0" xfId="40" applyNumberFormat="1" applyFill="1" applyBorder="1" applyAlignment="1" applyProtection="1">
      <alignment horizontal="center"/>
      <protection locked="0"/>
    </xf>
    <xf numFmtId="164" fontId="25" fillId="0" borderId="0" xfId="30" applyBorder="1" applyAlignment="1" applyProtection="1">
      <alignment horizontal="center"/>
      <protection locked="0"/>
    </xf>
    <xf numFmtId="0" fontId="25" fillId="0" borderId="11" xfId="41" applyFill="1" applyBorder="1" applyProtection="1">
      <protection locked="0"/>
    </xf>
    <xf numFmtId="165" fontId="25" fillId="0" borderId="0" xfId="28" applyNumberFormat="1" applyFill="1" applyProtection="1">
      <protection locked="0"/>
    </xf>
    <xf numFmtId="0" fontId="44" fillId="0" borderId="21" xfId="41" applyFont="1" applyBorder="1" applyProtection="1">
      <protection locked="0"/>
    </xf>
    <xf numFmtId="0" fontId="44" fillId="0" borderId="0" xfId="41" applyFont="1" applyBorder="1" applyProtection="1">
      <protection locked="0"/>
    </xf>
    <xf numFmtId="165" fontId="25" fillId="0" borderId="0" xfId="28" applyFont="1" applyFill="1" applyBorder="1" applyAlignment="1" applyProtection="1">
      <alignment horizontal="center"/>
      <protection locked="0"/>
    </xf>
    <xf numFmtId="0" fontId="30" fillId="0" borderId="29" xfId="41" applyFont="1" applyFill="1" applyBorder="1" applyAlignment="1" applyProtection="1">
      <alignment horizontal="center"/>
      <protection locked="0"/>
    </xf>
    <xf numFmtId="0" fontId="25" fillId="0" borderId="18" xfId="41" applyFill="1" applyBorder="1" applyProtection="1">
      <protection locked="0"/>
    </xf>
    <xf numFmtId="0" fontId="25" fillId="0" borderId="18" xfId="41" applyFill="1" applyBorder="1" applyAlignment="1" applyProtection="1">
      <alignment horizontal="right"/>
      <protection locked="0"/>
    </xf>
    <xf numFmtId="165" fontId="25" fillId="0" borderId="18" xfId="28" applyNumberFormat="1" applyFill="1" applyBorder="1" applyProtection="1">
      <protection locked="0"/>
    </xf>
    <xf numFmtId="0" fontId="25" fillId="0" borderId="13" xfId="41" applyBorder="1" applyProtection="1">
      <protection locked="0"/>
    </xf>
    <xf numFmtId="0" fontId="57" fillId="0" borderId="37" xfId="41" applyFont="1" applyBorder="1" applyProtection="1">
      <protection locked="0"/>
    </xf>
    <xf numFmtId="0" fontId="25" fillId="0" borderId="35" xfId="41" applyFill="1" applyBorder="1" applyProtection="1">
      <protection locked="0"/>
    </xf>
    <xf numFmtId="0" fontId="25" fillId="0" borderId="35" xfId="41" applyFill="1" applyBorder="1" applyAlignment="1" applyProtection="1">
      <alignment horizontal="right"/>
      <protection locked="0"/>
    </xf>
    <xf numFmtId="165" fontId="25" fillId="0" borderId="35" xfId="28" applyNumberFormat="1" applyFill="1" applyBorder="1" applyProtection="1">
      <protection locked="0"/>
    </xf>
    <xf numFmtId="0" fontId="25" fillId="0" borderId="14" xfId="41" applyBorder="1" applyProtection="1">
      <protection locked="0"/>
    </xf>
    <xf numFmtId="0" fontId="42" fillId="0" borderId="0" xfId="41" applyFont="1" applyBorder="1" applyProtection="1">
      <protection locked="0"/>
    </xf>
    <xf numFmtId="0" fontId="34" fillId="0" borderId="21" xfId="41" applyFont="1" applyBorder="1" applyProtection="1">
      <protection locked="0"/>
    </xf>
    <xf numFmtId="0" fontId="43" fillId="0" borderId="0" xfId="41" applyFont="1" applyBorder="1" applyProtection="1">
      <protection locked="0"/>
    </xf>
    <xf numFmtId="0" fontId="43" fillId="0" borderId="21" xfId="41" applyFont="1" applyBorder="1" applyProtection="1">
      <protection locked="0"/>
    </xf>
    <xf numFmtId="0" fontId="30" fillId="0" borderId="21" xfId="41" applyFont="1" applyBorder="1" applyProtection="1">
      <protection locked="0"/>
    </xf>
    <xf numFmtId="0" fontId="30" fillId="0" borderId="0" xfId="41" applyFont="1" applyBorder="1" applyProtection="1">
      <protection locked="0"/>
    </xf>
    <xf numFmtId="0" fontId="25" fillId="0" borderId="20" xfId="41" applyFill="1" applyBorder="1" applyProtection="1">
      <protection locked="0"/>
    </xf>
    <xf numFmtId="0" fontId="25" fillId="0" borderId="0" xfId="41" applyFill="1" applyAlignment="1" applyProtection="1">
      <alignment horizontal="left"/>
      <protection locked="0"/>
    </xf>
    <xf numFmtId="2" fontId="25" fillId="0" borderId="0" xfId="41" applyNumberFormat="1" applyFill="1" applyAlignment="1" applyProtection="1">
      <alignment horizontal="left"/>
      <protection locked="0"/>
    </xf>
    <xf numFmtId="165" fontId="25" fillId="0" borderId="0" xfId="28" applyFont="1" applyFill="1" applyProtection="1">
      <protection locked="0"/>
    </xf>
    <xf numFmtId="165" fontId="25" fillId="0" borderId="0" xfId="28" applyFill="1" applyProtection="1">
      <protection locked="0"/>
    </xf>
    <xf numFmtId="164" fontId="25" fillId="0" borderId="0" xfId="30" applyFont="1" applyFill="1" applyProtection="1">
      <protection locked="0"/>
    </xf>
    <xf numFmtId="164" fontId="34" fillId="27" borderId="11" xfId="41" applyNumberFormat="1" applyFont="1" applyFill="1" applyBorder="1" applyProtection="1">
      <protection locked="0"/>
    </xf>
    <xf numFmtId="0" fontId="37" fillId="0" borderId="0" xfId="41" applyFont="1" applyFill="1" applyBorder="1" applyAlignment="1" applyProtection="1">
      <alignment horizontal="right"/>
      <protection locked="0"/>
    </xf>
    <xf numFmtId="0" fontId="25" fillId="0" borderId="0" xfId="41" applyFill="1" applyAlignment="1" applyProtection="1">
      <alignment horizontal="right"/>
      <protection locked="0"/>
    </xf>
    <xf numFmtId="0" fontId="30" fillId="0" borderId="11" xfId="41" applyFont="1" applyBorder="1" applyAlignment="1" applyProtection="1">
      <alignment horizontal="center"/>
      <protection locked="0"/>
    </xf>
    <xf numFmtId="0" fontId="25" fillId="28" borderId="0" xfId="41" applyFill="1" applyProtection="1">
      <protection locked="0"/>
    </xf>
    <xf numFmtId="164" fontId="38" fillId="28" borderId="0" xfId="30" applyFont="1" applyFill="1" applyAlignment="1" applyProtection="1">
      <alignment horizontal="right"/>
      <protection locked="0"/>
    </xf>
    <xf numFmtId="164" fontId="34" fillId="26" borderId="11" xfId="41" applyNumberFormat="1" applyFont="1" applyFill="1" applyBorder="1" applyProtection="1">
      <protection locked="0"/>
    </xf>
    <xf numFmtId="0" fontId="25" fillId="26" borderId="0" xfId="41" applyFill="1" applyProtection="1">
      <protection locked="0"/>
    </xf>
    <xf numFmtId="0" fontId="30" fillId="26" borderId="0" xfId="41" applyFont="1" applyFill="1" applyProtection="1">
      <protection locked="0"/>
    </xf>
    <xf numFmtId="0" fontId="34" fillId="0" borderId="0" xfId="41" applyFont="1" applyProtection="1">
      <protection locked="0"/>
    </xf>
    <xf numFmtId="0" fontId="39" fillId="0" borderId="0" xfId="41" applyFont="1" applyAlignment="1" applyProtection="1">
      <alignment horizontal="center"/>
      <protection locked="0"/>
    </xf>
    <xf numFmtId="0" fontId="39" fillId="0" borderId="0" xfId="41" applyFont="1" applyProtection="1">
      <protection locked="0"/>
    </xf>
    <xf numFmtId="2" fontId="39" fillId="0" borderId="0" xfId="41" applyNumberFormat="1" applyFont="1" applyAlignment="1" applyProtection="1">
      <alignment horizontal="center"/>
      <protection locked="0"/>
    </xf>
    <xf numFmtId="0" fontId="34" fillId="0" borderId="0" xfId="41" applyFont="1" applyAlignment="1" applyProtection="1">
      <alignment horizontal="right"/>
      <protection locked="0"/>
    </xf>
    <xf numFmtId="2" fontId="34" fillId="0" borderId="0" xfId="41" applyNumberFormat="1" applyFont="1" applyAlignment="1" applyProtection="1">
      <alignment horizontal="center"/>
      <protection locked="0"/>
    </xf>
    <xf numFmtId="0" fontId="39" fillId="0" borderId="0" xfId="41" applyFont="1" applyAlignment="1" applyProtection="1">
      <alignment horizontal="right"/>
      <protection locked="0"/>
    </xf>
    <xf numFmtId="0" fontId="40" fillId="0" borderId="15" xfId="41" applyFont="1" applyBorder="1" applyProtection="1">
      <protection locked="0"/>
    </xf>
    <xf numFmtId="0" fontId="40" fillId="0" borderId="13" xfId="41" applyFont="1" applyBorder="1" applyAlignment="1" applyProtection="1">
      <alignment horizontal="center"/>
      <protection locked="0"/>
    </xf>
    <xf numFmtId="0" fontId="40" fillId="0" borderId="16" xfId="41" applyFont="1" applyBorder="1" applyProtection="1">
      <protection locked="0"/>
    </xf>
    <xf numFmtId="0" fontId="40" fillId="0" borderId="34" xfId="41" applyFont="1" applyBorder="1" applyAlignment="1" applyProtection="1">
      <alignment horizontal="center"/>
      <protection locked="0"/>
    </xf>
    <xf numFmtId="0" fontId="40" fillId="0" borderId="0" xfId="41" applyFont="1" applyBorder="1" applyAlignment="1" applyProtection="1">
      <alignment horizontal="right"/>
      <protection locked="0"/>
    </xf>
    <xf numFmtId="0" fontId="40" fillId="0" borderId="17" xfId="41" applyFont="1" applyBorder="1" applyProtection="1">
      <protection locked="0"/>
    </xf>
    <xf numFmtId="0" fontId="40" fillId="0" borderId="14" xfId="41" applyFont="1" applyBorder="1" applyAlignment="1" applyProtection="1">
      <alignment horizontal="center"/>
      <protection locked="0"/>
    </xf>
    <xf numFmtId="0" fontId="40" fillId="0" borderId="11" xfId="41" applyFont="1" applyBorder="1" applyAlignment="1" applyProtection="1">
      <alignment horizontal="center"/>
      <protection locked="0"/>
    </xf>
    <xf numFmtId="0" fontId="40" fillId="0" borderId="11" xfId="41" applyFont="1" applyBorder="1" applyProtection="1">
      <protection locked="0"/>
    </xf>
    <xf numFmtId="0" fontId="40" fillId="0" borderId="11" xfId="41" applyFont="1" applyBorder="1" applyAlignment="1" applyProtection="1">
      <alignment horizontal="right"/>
      <protection locked="0"/>
    </xf>
    <xf numFmtId="0" fontId="40" fillId="0" borderId="0" xfId="41" applyFont="1" applyBorder="1" applyAlignment="1" applyProtection="1">
      <alignment horizontal="left"/>
      <protection locked="0"/>
    </xf>
    <xf numFmtId="0" fontId="25" fillId="0" borderId="11" xfId="41" applyBorder="1" applyProtection="1">
      <protection locked="0"/>
    </xf>
    <xf numFmtId="0" fontId="40" fillId="0" borderId="11" xfId="41" applyFont="1" applyBorder="1" applyAlignment="1" applyProtection="1">
      <alignment horizontal="left"/>
      <protection locked="0"/>
    </xf>
    <xf numFmtId="0" fontId="40" fillId="0" borderId="0" xfId="41" applyFont="1" applyBorder="1" applyProtection="1">
      <protection locked="0"/>
    </xf>
    <xf numFmtId="0" fontId="42" fillId="33" borderId="24" xfId="41" applyFont="1" applyFill="1" applyBorder="1" applyProtection="1"/>
    <xf numFmtId="0" fontId="43" fillId="33" borderId="19" xfId="41" applyFont="1" applyFill="1" applyBorder="1" applyAlignment="1" applyProtection="1">
      <alignment horizontal="center"/>
    </xf>
    <xf numFmtId="0" fontId="25" fillId="0" borderId="0" xfId="41" applyFill="1" applyBorder="1" applyProtection="1"/>
    <xf numFmtId="0" fontId="25" fillId="0" borderId="20" xfId="41" applyFill="1" applyBorder="1" applyProtection="1"/>
    <xf numFmtId="0" fontId="42" fillId="33" borderId="21" xfId="41" applyFont="1" applyFill="1" applyBorder="1" applyProtection="1"/>
    <xf numFmtId="0" fontId="43" fillId="33" borderId="20" xfId="41" applyFont="1" applyFill="1" applyBorder="1" applyAlignment="1" applyProtection="1">
      <alignment horizontal="right"/>
    </xf>
    <xf numFmtId="0" fontId="51" fillId="0" borderId="0" xfId="41" applyFont="1" applyFill="1" applyBorder="1" applyAlignment="1" applyProtection="1">
      <alignment horizontal="center"/>
    </xf>
    <xf numFmtId="0" fontId="42" fillId="33" borderId="38" xfId="41" applyFont="1" applyFill="1" applyBorder="1" applyAlignment="1" applyProtection="1">
      <alignment horizontal="right"/>
    </xf>
    <xf numFmtId="165" fontId="45" fillId="33" borderId="39" xfId="28" applyFont="1" applyFill="1" applyBorder="1" applyAlignment="1" applyProtection="1">
      <alignment horizontal="center"/>
    </xf>
    <xf numFmtId="44" fontId="52" fillId="0" borderId="0" xfId="29" applyFont="1" applyFill="1" applyBorder="1" applyProtection="1"/>
    <xf numFmtId="0" fontId="42" fillId="0" borderId="40" xfId="41" applyFont="1" applyFill="1" applyBorder="1" applyAlignment="1" applyProtection="1">
      <alignment horizontal="right"/>
    </xf>
    <xf numFmtId="165" fontId="42" fillId="0" borderId="41" xfId="28" applyFont="1" applyBorder="1" applyAlignment="1" applyProtection="1">
      <alignment horizontal="center"/>
    </xf>
    <xf numFmtId="0" fontId="64" fillId="0" borderId="0" xfId="41" applyFont="1" applyFill="1" applyBorder="1" applyAlignment="1" applyProtection="1">
      <alignment horizontal="center"/>
    </xf>
    <xf numFmtId="0" fontId="25" fillId="0" borderId="20" xfId="41" applyBorder="1" applyProtection="1"/>
    <xf numFmtId="0" fontId="25" fillId="0" borderId="38" xfId="41" applyBorder="1" applyProtection="1"/>
    <xf numFmtId="0" fontId="25" fillId="0" borderId="37" xfId="41" applyBorder="1" applyProtection="1"/>
    <xf numFmtId="0" fontId="64" fillId="0" borderId="37" xfId="41" applyFont="1" applyFill="1" applyBorder="1" applyAlignment="1" applyProtection="1">
      <alignment horizontal="center"/>
    </xf>
    <xf numFmtId="0" fontId="25" fillId="0" borderId="39" xfId="41" applyBorder="1" applyProtection="1"/>
    <xf numFmtId="0" fontId="44" fillId="0" borderId="0" xfId="41" applyFont="1" applyBorder="1" applyAlignment="1" applyProtection="1">
      <alignment horizontal="center"/>
    </xf>
    <xf numFmtId="0" fontId="42" fillId="0" borderId="0" xfId="41" applyFont="1" applyBorder="1" applyAlignment="1" applyProtection="1">
      <alignment horizontal="center"/>
    </xf>
    <xf numFmtId="0" fontId="43" fillId="0" borderId="0" xfId="41" applyFont="1" applyBorder="1" applyAlignment="1" applyProtection="1">
      <alignment horizontal="center"/>
    </xf>
    <xf numFmtId="165" fontId="25" fillId="0" borderId="0" xfId="28" applyBorder="1" applyAlignment="1" applyProtection="1">
      <alignment horizontal="center"/>
    </xf>
    <xf numFmtId="43" fontId="25" fillId="0" borderId="0" xfId="41" applyNumberFormat="1" applyBorder="1" applyAlignment="1" applyProtection="1">
      <alignment horizontal="center"/>
    </xf>
    <xf numFmtId="165" fontId="30" fillId="0" borderId="0" xfId="28" applyFont="1" applyBorder="1" applyAlignment="1" applyProtection="1">
      <alignment horizontal="center"/>
    </xf>
    <xf numFmtId="44" fontId="52" fillId="0" borderId="37" xfId="29" applyFont="1" applyFill="1" applyBorder="1" applyProtection="1">
      <protection locked="0"/>
    </xf>
    <xf numFmtId="0" fontId="34" fillId="24" borderId="0" xfId="41" applyFont="1" applyFill="1" applyBorder="1" applyAlignment="1" applyProtection="1">
      <alignment horizontal="left"/>
      <protection locked="0"/>
    </xf>
    <xf numFmtId="44" fontId="52" fillId="0" borderId="0" xfId="29" applyFont="1" applyFill="1" applyBorder="1" applyProtection="1">
      <protection locked="0"/>
    </xf>
    <xf numFmtId="0" fontId="25" fillId="0" borderId="0" xfId="41" applyBorder="1" applyAlignment="1" applyProtection="1">
      <alignment horizontal="center"/>
      <protection locked="0"/>
    </xf>
    <xf numFmtId="2" fontId="52" fillId="33" borderId="21" xfId="41" applyNumberFormat="1" applyFont="1" applyFill="1" applyBorder="1" applyAlignment="1" applyProtection="1">
      <alignment horizontal="center"/>
    </xf>
    <xf numFmtId="0" fontId="34" fillId="24" borderId="0" xfId="41" applyFont="1" applyFill="1" applyBorder="1" applyAlignment="1" applyProtection="1">
      <alignment horizontal="center"/>
      <protection locked="0"/>
    </xf>
    <xf numFmtId="168" fontId="25" fillId="0" borderId="0" xfId="28" applyNumberFormat="1" applyFont="1" applyBorder="1" applyProtection="1">
      <protection locked="0"/>
    </xf>
    <xf numFmtId="0" fontId="65" fillId="0" borderId="0" xfId="41" applyFont="1" applyFill="1" applyBorder="1" applyAlignment="1" applyProtection="1">
      <alignment horizontal="center"/>
    </xf>
    <xf numFmtId="4" fontId="25" fillId="0" borderId="0" xfId="28" applyNumberFormat="1" applyFont="1" applyBorder="1" applyProtection="1">
      <protection locked="0"/>
    </xf>
    <xf numFmtId="0" fontId="34" fillId="0" borderId="11" xfId="41" applyFont="1" applyFill="1" applyBorder="1" applyAlignment="1" applyProtection="1">
      <alignment horizontal="center" vertical="center"/>
      <protection locked="0"/>
    </xf>
    <xf numFmtId="0" fontId="34" fillId="0" borderId="11" xfId="41" applyFont="1" applyBorder="1" applyAlignment="1" applyProtection="1">
      <alignment horizontal="center"/>
      <protection locked="0"/>
    </xf>
    <xf numFmtId="0" fontId="44" fillId="0" borderId="11" xfId="41" applyFont="1" applyBorder="1" applyAlignment="1" applyProtection="1">
      <alignment horizontal="center"/>
    </xf>
    <xf numFmtId="0" fontId="39" fillId="0" borderId="11" xfId="41" applyFont="1" applyFill="1" applyBorder="1" applyAlignment="1" applyProtection="1">
      <alignment horizontal="center"/>
      <protection locked="0"/>
    </xf>
    <xf numFmtId="0" fontId="39" fillId="0" borderId="11" xfId="41" applyFont="1" applyBorder="1" applyAlignment="1" applyProtection="1">
      <alignment horizontal="center"/>
      <protection locked="0"/>
    </xf>
    <xf numFmtId="0" fontId="25" fillId="0" borderId="21" xfId="41" applyBorder="1" applyAlignment="1" applyProtection="1">
      <alignment horizontal="center"/>
      <protection locked="0"/>
    </xf>
    <xf numFmtId="0" fontId="44" fillId="0" borderId="11" xfId="41" applyFont="1" applyBorder="1" applyAlignment="1" applyProtection="1">
      <alignment horizontal="center"/>
      <protection locked="0"/>
    </xf>
    <xf numFmtId="0" fontId="25" fillId="0" borderId="21" xfId="41" applyFill="1" applyBorder="1" applyAlignment="1" applyProtection="1">
      <alignment horizontal="center"/>
      <protection locked="0"/>
    </xf>
    <xf numFmtId="0" fontId="25" fillId="0" borderId="0" xfId="41" applyFill="1" applyBorder="1" applyAlignment="1" applyProtection="1">
      <alignment horizontal="center"/>
      <protection locked="0"/>
    </xf>
    <xf numFmtId="0" fontId="25" fillId="0" borderId="0" xfId="41" applyFill="1" applyBorder="1" applyAlignment="1" applyProtection="1">
      <alignment horizontal="center"/>
    </xf>
    <xf numFmtId="0" fontId="34" fillId="0" borderId="11" xfId="41" applyFont="1" applyFill="1" applyBorder="1" applyAlignment="1" applyProtection="1">
      <alignment horizontal="center"/>
      <protection locked="0"/>
    </xf>
    <xf numFmtId="0" fontId="6" fillId="0" borderId="11" xfId="0" applyFont="1" applyBorder="1" applyAlignment="1">
      <alignment horizontal="center"/>
    </xf>
    <xf numFmtId="0" fontId="66" fillId="0" borderId="11" xfId="41" applyFont="1" applyBorder="1" applyAlignment="1" applyProtection="1">
      <alignment horizontal="center"/>
      <protection locked="0"/>
    </xf>
    <xf numFmtId="0" fontId="34" fillId="24" borderId="11" xfId="41" applyFont="1" applyFill="1" applyBorder="1" applyAlignment="1" applyProtection="1">
      <alignment horizontal="center"/>
      <protection locked="0"/>
    </xf>
    <xf numFmtId="0" fontId="39" fillId="0" borderId="21" xfId="41" applyFont="1" applyBorder="1" applyAlignment="1" applyProtection="1">
      <alignment horizontal="center"/>
      <protection locked="0"/>
    </xf>
    <xf numFmtId="0" fontId="39" fillId="0" borderId="0" xfId="41" applyFont="1" applyBorder="1" applyAlignment="1" applyProtection="1">
      <alignment horizontal="center"/>
      <protection locked="0"/>
    </xf>
    <xf numFmtId="0" fontId="39" fillId="0" borderId="20" xfId="41" applyFont="1" applyBorder="1" applyAlignment="1" applyProtection="1">
      <alignment horizontal="center"/>
      <protection locked="0"/>
    </xf>
    <xf numFmtId="164" fontId="39" fillId="0" borderId="0" xfId="30" applyFont="1" applyBorder="1" applyAlignment="1" applyProtection="1">
      <alignment horizontal="center"/>
      <protection locked="0"/>
    </xf>
    <xf numFmtId="0" fontId="39" fillId="0" borderId="20" xfId="41" applyFont="1" applyBorder="1" applyProtection="1">
      <protection locked="0"/>
    </xf>
    <xf numFmtId="0" fontId="34" fillId="0" borderId="21" xfId="41" applyFont="1" applyBorder="1" applyAlignment="1" applyProtection="1">
      <alignment horizontal="center"/>
      <protection locked="0"/>
    </xf>
    <xf numFmtId="2" fontId="52" fillId="33" borderId="26" xfId="41" applyNumberFormat="1" applyFont="1" applyFill="1" applyBorder="1" applyAlignment="1" applyProtection="1">
      <alignment horizontal="center"/>
    </xf>
    <xf numFmtId="2" fontId="52" fillId="33" borderId="10" xfId="41" applyNumberFormat="1" applyFont="1" applyFill="1" applyBorder="1" applyAlignment="1" applyProtection="1">
      <alignment horizontal="center"/>
    </xf>
    <xf numFmtId="2" fontId="52" fillId="33" borderId="36" xfId="41" applyNumberFormat="1" applyFont="1" applyFill="1" applyBorder="1" applyAlignment="1" applyProtection="1">
      <alignment horizontal="center"/>
    </xf>
    <xf numFmtId="2" fontId="52" fillId="33" borderId="25" xfId="41" applyNumberFormat="1" applyFont="1" applyFill="1" applyBorder="1" applyAlignment="1" applyProtection="1">
      <alignment horizontal="center"/>
    </xf>
    <xf numFmtId="2" fontId="52" fillId="33" borderId="0" xfId="41" applyNumberFormat="1" applyFont="1" applyFill="1" applyBorder="1" applyAlignment="1" applyProtection="1">
      <alignment horizontal="center"/>
    </xf>
    <xf numFmtId="2" fontId="52" fillId="33" borderId="37" xfId="41" applyNumberFormat="1" applyFont="1" applyFill="1" applyBorder="1" applyAlignment="1" applyProtection="1">
      <alignment horizontal="center"/>
    </xf>
    <xf numFmtId="0" fontId="42" fillId="33" borderId="42" xfId="41" applyFont="1" applyFill="1" applyBorder="1" applyAlignment="1" applyProtection="1">
      <alignment horizontal="center"/>
    </xf>
    <xf numFmtId="0" fontId="43" fillId="33" borderId="43" xfId="41" applyFont="1" applyFill="1" applyBorder="1" applyAlignment="1" applyProtection="1">
      <alignment horizontal="center"/>
    </xf>
    <xf numFmtId="0" fontId="42" fillId="33" borderId="22" xfId="41" applyFont="1" applyFill="1" applyBorder="1" applyAlignment="1" applyProtection="1">
      <alignment horizontal="center"/>
    </xf>
    <xf numFmtId="0" fontId="43" fillId="33" borderId="23" xfId="41" applyFont="1" applyFill="1" applyBorder="1" applyAlignment="1" applyProtection="1">
      <alignment horizontal="center"/>
    </xf>
    <xf numFmtId="0" fontId="42" fillId="0" borderId="22" xfId="41" applyFont="1" applyFill="1" applyBorder="1" applyAlignment="1" applyProtection="1">
      <alignment horizontal="center"/>
    </xf>
    <xf numFmtId="0" fontId="25" fillId="0" borderId="44" xfId="41" applyBorder="1" applyAlignment="1" applyProtection="1">
      <alignment horizontal="center"/>
    </xf>
    <xf numFmtId="0" fontId="25" fillId="0" borderId="45" xfId="41" applyBorder="1" applyAlignment="1" applyProtection="1">
      <alignment horizontal="center"/>
    </xf>
    <xf numFmtId="0" fontId="39" fillId="0" borderId="21" xfId="41" applyFont="1" applyFill="1" applyBorder="1" applyProtection="1">
      <protection locked="0"/>
    </xf>
    <xf numFmtId="2" fontId="6" fillId="0" borderId="11" xfId="0" applyNumberFormat="1" applyFont="1" applyBorder="1" applyAlignment="1">
      <alignment horizontal="center"/>
    </xf>
    <xf numFmtId="2" fontId="39" fillId="0" borderId="11" xfId="28" applyNumberFormat="1" applyFont="1" applyBorder="1" applyAlignment="1" applyProtection="1">
      <alignment horizontal="center"/>
      <protection locked="0"/>
    </xf>
    <xf numFmtId="2" fontId="44" fillId="0" borderId="11" xfId="41" applyNumberFormat="1" applyFont="1" applyBorder="1" applyAlignment="1" applyProtection="1">
      <alignment horizontal="center"/>
    </xf>
    <xf numFmtId="4" fontId="39" fillId="0" borderId="0" xfId="28" applyNumberFormat="1" applyFont="1" applyBorder="1" applyAlignment="1" applyProtection="1">
      <alignment horizontal="center"/>
    </xf>
    <xf numFmtId="0" fontId="34" fillId="4" borderId="0" xfId="32" applyFont="1" applyBorder="1" applyAlignment="1" applyProtection="1">
      <alignment horizontal="center" vertical="center"/>
      <protection locked="0"/>
    </xf>
    <xf numFmtId="0" fontId="23" fillId="0" borderId="0" xfId="40" applyFont="1" applyFill="1" applyBorder="1" applyAlignment="1" applyProtection="1">
      <alignment horizontal="center"/>
      <protection locked="0"/>
    </xf>
    <xf numFmtId="0" fontId="28" fillId="0" borderId="0" xfId="40" applyFont="1" applyFill="1" applyBorder="1" applyAlignment="1" applyProtection="1">
      <alignment horizontal="center"/>
      <protection locked="0"/>
    </xf>
    <xf numFmtId="0" fontId="28" fillId="27" borderId="0" xfId="40" applyFont="1" applyFill="1" applyAlignment="1" applyProtection="1">
      <alignment horizontal="center"/>
      <protection locked="0"/>
    </xf>
  </cellXfs>
  <cellStyles count="48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_PVCPricer 2012" xfId="28"/>
    <cellStyle name="Currency" xfId="29" builtinId="4"/>
    <cellStyle name="Currency_PVCPricer 2012" xfId="30"/>
    <cellStyle name="Explanatory Text" xfId="31" builtinId="53" customBuiltin="1"/>
    <cellStyle name="Good" xfId="32" builtinId="26" customBuiltin="1"/>
    <cellStyle name="Heading 1" xfId="33" builtinId="16" customBuiltin="1"/>
    <cellStyle name="Heading 2" xfId="34" builtinId="17" customBuiltin="1"/>
    <cellStyle name="Heading 3" xfId="35" builtinId="18" customBuiltin="1"/>
    <cellStyle name="Heading 4" xfId="36" builtinId="19" customBuiltin="1"/>
    <cellStyle name="Input" xfId="37" builtinId="20" customBuiltin="1"/>
    <cellStyle name="Linked Cell" xfId="38" builtinId="24" customBuiltin="1"/>
    <cellStyle name="Neutral" xfId="39" builtinId="28" customBuiltin="1"/>
    <cellStyle name="Normal" xfId="0" builtinId="0"/>
    <cellStyle name="Normal_BXL PVC 2015" xfId="40"/>
    <cellStyle name="Normal_PVCPricer 2012" xfId="41"/>
    <cellStyle name="Note" xfId="42" builtinId="10" customBuiltin="1"/>
    <cellStyle name="Output" xfId="43" builtinId="21" customBuiltin="1"/>
    <cellStyle name="Percent" xfId="44" builtinId="5"/>
    <cellStyle name="Title" xfId="45" builtinId="15" customBuiltin="1"/>
    <cellStyle name="Total" xfId="46" builtinId="25" customBuiltin="1"/>
    <cellStyle name="Warning Text" xfId="47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icers%20current%20(created%20jan%202012)/PVCPricer%202015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bpenner/Desktop/PVCPricer%20201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ll Roll"/>
      <sheetName val="strip calc for opening size"/>
      <sheetName val="DoNotUse SqFt (2)"/>
      <sheetName val="Rollinfo"/>
      <sheetName val="Sheet1"/>
    </sheetNames>
    <sheetDataSet>
      <sheetData sheetId="0">
        <row r="1">
          <cell r="S1">
            <v>1.4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ndPricingSqFt"/>
      <sheetName val="StandPricingReplstrips"/>
      <sheetName val="CustomPricing"/>
      <sheetName val="PricingSpecial"/>
      <sheetName val="DNU SqFt"/>
      <sheetName val="Rollinfo"/>
      <sheetName val="B &amp; D"/>
      <sheetName val="SlittingPVC"/>
      <sheetName val="Pricing16&quot;"/>
      <sheetName val="DadTemplate"/>
      <sheetName val="Custom discount"/>
      <sheetName val="DNU Bob's new"/>
      <sheetName val="markupanalysis"/>
      <sheetName val="FullRoll"/>
      <sheetName val="selectguide"/>
      <sheetName val="BREWERS RETAIL INC."/>
    </sheetNames>
    <sheetDataSet>
      <sheetData sheetId="0"/>
      <sheetData sheetId="1"/>
      <sheetData sheetId="2"/>
      <sheetData sheetId="3"/>
      <sheetData sheetId="4"/>
      <sheetData sheetId="5">
        <row r="3">
          <cell r="A3" t="str">
            <v>CS6-2</v>
          </cell>
          <cell r="B3">
            <v>145.31</v>
          </cell>
          <cell r="C3">
            <v>300</v>
          </cell>
          <cell r="D3">
            <v>6</v>
          </cell>
          <cell r="E3">
            <v>2</v>
          </cell>
        </row>
        <row r="4">
          <cell r="A4" t="str">
            <v>CL6-2</v>
          </cell>
          <cell r="B4">
            <v>162.66999999999999</v>
          </cell>
          <cell r="C4">
            <v>300</v>
          </cell>
          <cell r="D4">
            <v>6</v>
          </cell>
          <cell r="E4">
            <v>2</v>
          </cell>
        </row>
        <row r="5">
          <cell r="A5" t="str">
            <v>CS8-2</v>
          </cell>
          <cell r="B5">
            <v>179</v>
          </cell>
          <cell r="C5">
            <v>300</v>
          </cell>
          <cell r="D5">
            <v>8</v>
          </cell>
          <cell r="E5">
            <v>2</v>
          </cell>
        </row>
        <row r="6">
          <cell r="A6" t="str">
            <v>CS8-F</v>
          </cell>
          <cell r="B6">
            <v>179</v>
          </cell>
          <cell r="C6">
            <v>300</v>
          </cell>
          <cell r="D6">
            <v>8</v>
          </cell>
          <cell r="E6">
            <v>4</v>
          </cell>
        </row>
        <row r="7">
          <cell r="A7" t="str">
            <v>CL8-2</v>
          </cell>
          <cell r="B7">
            <v>201</v>
          </cell>
          <cell r="C7">
            <v>300</v>
          </cell>
          <cell r="D7">
            <v>8</v>
          </cell>
          <cell r="E7">
            <v>2</v>
          </cell>
        </row>
        <row r="8">
          <cell r="A8" t="str">
            <v>CL8-F</v>
          </cell>
          <cell r="B8">
            <v>191</v>
          </cell>
          <cell r="C8">
            <v>300</v>
          </cell>
          <cell r="D8">
            <v>8</v>
          </cell>
          <cell r="E8">
            <v>4</v>
          </cell>
        </row>
        <row r="9">
          <cell r="A9" t="str">
            <v>CW8-2</v>
          </cell>
          <cell r="B9">
            <v>210</v>
          </cell>
          <cell r="C9">
            <v>300</v>
          </cell>
          <cell r="D9">
            <v>8</v>
          </cell>
          <cell r="E9">
            <v>2</v>
          </cell>
        </row>
        <row r="10">
          <cell r="A10" t="str">
            <v>CW8-F</v>
          </cell>
          <cell r="B10">
            <v>210</v>
          </cell>
          <cell r="C10">
            <v>300</v>
          </cell>
          <cell r="D10">
            <v>8</v>
          </cell>
          <cell r="E10">
            <v>4</v>
          </cell>
        </row>
        <row r="11">
          <cell r="A11" t="str">
            <v>CS12-2</v>
          </cell>
          <cell r="B11">
            <v>251.5</v>
          </cell>
          <cell r="C11">
            <v>200</v>
          </cell>
          <cell r="D11">
            <v>12</v>
          </cell>
          <cell r="E11">
            <v>2</v>
          </cell>
        </row>
        <row r="12">
          <cell r="A12" t="str">
            <v>CS12-4</v>
          </cell>
          <cell r="B12">
            <v>251.5</v>
          </cell>
          <cell r="C12">
            <v>200</v>
          </cell>
          <cell r="D12">
            <v>12</v>
          </cell>
          <cell r="E12">
            <v>4</v>
          </cell>
        </row>
        <row r="13">
          <cell r="A13" t="str">
            <v>CS12-F</v>
          </cell>
          <cell r="B13">
            <v>251.5</v>
          </cell>
          <cell r="C13">
            <v>200</v>
          </cell>
          <cell r="D13">
            <v>12</v>
          </cell>
          <cell r="E13">
            <v>6</v>
          </cell>
          <cell r="F13">
            <v>4.5</v>
          </cell>
        </row>
        <row r="14">
          <cell r="A14" t="str">
            <v>CL12-2</v>
          </cell>
          <cell r="B14">
            <v>314</v>
          </cell>
          <cell r="C14">
            <v>200</v>
          </cell>
          <cell r="D14">
            <v>12</v>
          </cell>
          <cell r="E14">
            <v>2</v>
          </cell>
        </row>
        <row r="15">
          <cell r="A15" t="str">
            <v>CL12-4</v>
          </cell>
          <cell r="B15">
            <v>314</v>
          </cell>
          <cell r="C15">
            <v>200</v>
          </cell>
          <cell r="D15">
            <v>12</v>
          </cell>
          <cell r="E15">
            <v>4</v>
          </cell>
        </row>
        <row r="16">
          <cell r="A16" t="str">
            <v>CL12-F</v>
          </cell>
          <cell r="B16">
            <v>314</v>
          </cell>
          <cell r="C16">
            <v>200</v>
          </cell>
          <cell r="D16">
            <v>12</v>
          </cell>
          <cell r="E16">
            <v>6</v>
          </cell>
        </row>
        <row r="17">
          <cell r="A17" t="str">
            <v>CS16-4</v>
          </cell>
          <cell r="B17">
            <v>275</v>
          </cell>
          <cell r="C17">
            <v>100</v>
          </cell>
          <cell r="D17">
            <v>16</v>
          </cell>
          <cell r="E17">
            <v>4</v>
          </cell>
        </row>
        <row r="18">
          <cell r="A18" t="str">
            <v>CS16-6</v>
          </cell>
          <cell r="B18">
            <v>275</v>
          </cell>
          <cell r="C18">
            <v>100</v>
          </cell>
          <cell r="D18">
            <v>16</v>
          </cell>
          <cell r="E18">
            <v>6</v>
          </cell>
        </row>
        <row r="19">
          <cell r="A19" t="str">
            <v>CS16-F</v>
          </cell>
          <cell r="B19">
            <v>275</v>
          </cell>
          <cell r="C19">
            <v>100</v>
          </cell>
          <cell r="D19">
            <v>16</v>
          </cell>
          <cell r="E19">
            <v>8</v>
          </cell>
        </row>
        <row r="20">
          <cell r="A20" t="str">
            <v>CL16-4</v>
          </cell>
          <cell r="B20">
            <v>338</v>
          </cell>
          <cell r="C20">
            <v>100</v>
          </cell>
          <cell r="D20">
            <v>16</v>
          </cell>
          <cell r="E20">
            <v>4</v>
          </cell>
        </row>
        <row r="21">
          <cell r="A21" t="str">
            <v>CL16-6</v>
          </cell>
          <cell r="B21">
            <v>338</v>
          </cell>
          <cell r="C21">
            <v>100</v>
          </cell>
          <cell r="D21">
            <v>16</v>
          </cell>
          <cell r="E21">
            <v>6</v>
          </cell>
        </row>
        <row r="22">
          <cell r="A22" t="str">
            <v>CL16-F</v>
          </cell>
          <cell r="B22">
            <v>338</v>
          </cell>
          <cell r="C22">
            <v>100</v>
          </cell>
          <cell r="D22">
            <v>16</v>
          </cell>
          <cell r="E22">
            <v>8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T55"/>
  <sheetViews>
    <sheetView zoomScaleNormal="100" workbookViewId="0">
      <selection activeCell="V16" sqref="V16"/>
    </sheetView>
  </sheetViews>
  <sheetFormatPr defaultColWidth="8" defaultRowHeight="15" x14ac:dyDescent="0.25"/>
  <cols>
    <col min="1" max="1" width="10.875" style="1" bestFit="1" customWidth="1"/>
    <col min="2" max="2" width="37.125" style="1" bestFit="1" customWidth="1"/>
    <col min="3" max="3" width="8" style="1" hidden="1" customWidth="1"/>
    <col min="4" max="4" width="12.875" style="1" bestFit="1" customWidth="1"/>
    <col min="5" max="5" width="6.125" style="8" bestFit="1" customWidth="1"/>
    <col min="6" max="6" width="3.75" style="8" customWidth="1"/>
    <col min="7" max="7" width="10.75" style="1" customWidth="1"/>
    <col min="8" max="8" width="6.125" style="8" bestFit="1" customWidth="1"/>
    <col min="9" max="9" width="3.75" style="8" customWidth="1"/>
    <col min="10" max="10" width="12.5" style="3" bestFit="1" customWidth="1"/>
    <col min="11" max="11" width="3.75" style="8" customWidth="1"/>
    <col min="12" max="12" width="12.5" style="1" bestFit="1" customWidth="1"/>
    <col min="13" max="13" width="3" style="1" customWidth="1"/>
    <col min="14" max="14" width="16.25" style="1" bestFit="1" customWidth="1"/>
    <col min="15" max="15" width="3.5" style="1" customWidth="1"/>
    <col min="16" max="16" width="15.375" style="1" bestFit="1" customWidth="1"/>
    <col min="17" max="17" width="8.125" style="1" bestFit="1" customWidth="1"/>
    <col min="18" max="18" width="8.375" style="1" bestFit="1" customWidth="1"/>
    <col min="19" max="19" width="7.625" style="1" customWidth="1"/>
    <col min="20" max="20" width="14.125" style="1" bestFit="1" customWidth="1"/>
    <col min="21" max="16384" width="8" style="1"/>
  </cols>
  <sheetData>
    <row r="1" spans="1:20" ht="20.100000000000001" customHeight="1" x14ac:dyDescent="0.3">
      <c r="B1" s="2"/>
      <c r="D1" s="112">
        <v>2015</v>
      </c>
      <c r="E1" s="67"/>
      <c r="G1" s="117">
        <v>2015</v>
      </c>
      <c r="H1" s="118"/>
      <c r="J1" s="113">
        <v>2015</v>
      </c>
      <c r="L1" s="114">
        <v>2015</v>
      </c>
      <c r="N1" s="115">
        <v>2015</v>
      </c>
      <c r="O1" s="74"/>
      <c r="P1" s="102" t="s">
        <v>0</v>
      </c>
      <c r="Q1" s="103">
        <v>42156</v>
      </c>
      <c r="R1" s="104" t="s">
        <v>1</v>
      </c>
      <c r="S1" s="105">
        <f>SUM('[1]Full Roll'!S1)</f>
        <v>1.4</v>
      </c>
      <c r="T1" s="84"/>
    </row>
    <row r="2" spans="1:20" ht="20.100000000000001" customHeight="1" x14ac:dyDescent="0.3">
      <c r="A2" s="78" t="s">
        <v>2</v>
      </c>
      <c r="B2" s="78"/>
      <c r="C2" s="78"/>
      <c r="D2" s="112"/>
      <c r="E2" s="68"/>
      <c r="F2" s="4"/>
      <c r="G2" s="117"/>
      <c r="H2" s="119"/>
      <c r="I2" s="4"/>
      <c r="J2" s="73" t="s">
        <v>94</v>
      </c>
      <c r="K2" s="15"/>
      <c r="L2" s="107" t="s">
        <v>94</v>
      </c>
      <c r="N2" s="116" t="s">
        <v>235</v>
      </c>
      <c r="O2" s="74"/>
      <c r="P2" s="85"/>
      <c r="Q2" s="80"/>
      <c r="R2" s="81" t="s">
        <v>3</v>
      </c>
      <c r="S2" s="82">
        <v>2</v>
      </c>
      <c r="T2" s="86"/>
    </row>
    <row r="3" spans="1:20" ht="20.100000000000001" customHeight="1" x14ac:dyDescent="0.3">
      <c r="C3" s="77"/>
      <c r="D3" s="14" t="s">
        <v>96</v>
      </c>
      <c r="E3" s="69" t="s">
        <v>234</v>
      </c>
      <c r="F3" s="65"/>
      <c r="G3" s="120" t="s">
        <v>96</v>
      </c>
      <c r="H3" s="121" t="s">
        <v>234</v>
      </c>
      <c r="I3" s="65"/>
      <c r="J3" s="73" t="s">
        <v>95</v>
      </c>
      <c r="K3" s="15"/>
      <c r="L3" s="107" t="s">
        <v>95</v>
      </c>
      <c r="N3" s="97" t="s">
        <v>96</v>
      </c>
      <c r="O3" s="74"/>
      <c r="P3" s="77" t="s">
        <v>100</v>
      </c>
      <c r="Q3" s="191"/>
      <c r="R3" s="59"/>
      <c r="S3" s="60" t="s">
        <v>98</v>
      </c>
      <c r="T3" s="87"/>
    </row>
    <row r="4" spans="1:20" ht="20.100000000000001" customHeight="1" x14ac:dyDescent="0.6">
      <c r="A4" s="8" t="s">
        <v>6</v>
      </c>
      <c r="B4" s="5" t="s">
        <v>7</v>
      </c>
      <c r="C4" s="8"/>
      <c r="D4" s="109" t="s">
        <v>4</v>
      </c>
      <c r="E4" s="70"/>
      <c r="F4" s="6"/>
      <c r="G4" s="122" t="s">
        <v>5</v>
      </c>
      <c r="H4" s="123"/>
      <c r="I4" s="6"/>
      <c r="J4" s="110" t="s">
        <v>4</v>
      </c>
      <c r="K4" s="16"/>
      <c r="L4" s="111" t="s">
        <v>5</v>
      </c>
      <c r="N4" s="97" t="s">
        <v>236</v>
      </c>
      <c r="O4" s="79"/>
      <c r="P4" s="88" t="s">
        <v>8</v>
      </c>
      <c r="Q4" s="62" t="s">
        <v>9</v>
      </c>
      <c r="R4" s="61" t="s">
        <v>97</v>
      </c>
      <c r="S4" s="60" t="s">
        <v>99</v>
      </c>
      <c r="T4" s="89" t="s">
        <v>10</v>
      </c>
    </row>
    <row r="5" spans="1:20" ht="20.100000000000001" customHeight="1" x14ac:dyDescent="0.25">
      <c r="B5" s="3"/>
      <c r="D5" s="7"/>
      <c r="E5" s="71"/>
      <c r="G5" s="124"/>
      <c r="H5" s="125"/>
      <c r="J5" s="106"/>
      <c r="L5" s="108"/>
      <c r="N5" s="99"/>
      <c r="P5" s="90"/>
      <c r="Q5" s="83"/>
      <c r="R5" s="59"/>
      <c r="S5" s="59"/>
      <c r="T5" s="87"/>
    </row>
    <row r="6" spans="1:20" ht="20.100000000000001" customHeight="1" x14ac:dyDescent="0.25">
      <c r="A6" s="13" t="s">
        <v>11</v>
      </c>
      <c r="B6" s="13" t="s">
        <v>12</v>
      </c>
      <c r="C6" s="13"/>
      <c r="D6" s="128">
        <f>T6*$S$2</f>
        <v>174.66399999999999</v>
      </c>
      <c r="E6" s="129">
        <f t="shared" ref="E6:E50" si="0">D6/T6</f>
        <v>2</v>
      </c>
      <c r="F6" s="20"/>
      <c r="G6" s="126">
        <f>D6*0.8</f>
        <v>139.7312</v>
      </c>
      <c r="H6" s="131">
        <f t="shared" ref="H6:H50" si="1">G6/T6</f>
        <v>1.6</v>
      </c>
      <c r="I6" s="20"/>
      <c r="J6" s="132">
        <f>(D6/S6)*1.5</f>
        <v>0.87331999999999987</v>
      </c>
      <c r="K6" s="19"/>
      <c r="L6" s="134">
        <f>J6*0.8</f>
        <v>0.69865599999999994</v>
      </c>
      <c r="N6" s="98">
        <f>G6*0.9</f>
        <v>125.75808000000001</v>
      </c>
      <c r="O6" s="75"/>
      <c r="P6" s="91">
        <v>62.38</v>
      </c>
      <c r="Q6" s="17">
        <v>38</v>
      </c>
      <c r="R6" s="9" t="s">
        <v>13</v>
      </c>
      <c r="S6" s="10">
        <v>300</v>
      </c>
      <c r="T6" s="92">
        <f>P6*$S$1</f>
        <v>87.331999999999994</v>
      </c>
    </row>
    <row r="7" spans="1:20" ht="20.100000000000001" customHeight="1" x14ac:dyDescent="0.25">
      <c r="A7" s="13" t="s">
        <v>14</v>
      </c>
      <c r="B7" s="13" t="s">
        <v>15</v>
      </c>
      <c r="C7" s="13"/>
      <c r="D7" s="128">
        <f>T7*$S$2</f>
        <v>196.02799999999999</v>
      </c>
      <c r="E7" s="129">
        <f t="shared" si="0"/>
        <v>2</v>
      </c>
      <c r="F7" s="20"/>
      <c r="G7" s="126">
        <f t="shared" ref="G7:G51" si="2">D7*0.8</f>
        <v>156.82240000000002</v>
      </c>
      <c r="H7" s="131">
        <f t="shared" si="1"/>
        <v>1.6000000000000003</v>
      </c>
      <c r="I7" s="20"/>
      <c r="J7" s="132">
        <f>(D7/S7)*1.5</f>
        <v>0.9801399999999999</v>
      </c>
      <c r="K7" s="19"/>
      <c r="L7" s="134">
        <f t="shared" ref="L7:L50" si="3">J7*0.8</f>
        <v>0.78411199999999992</v>
      </c>
      <c r="N7" s="98">
        <f t="shared" ref="N7:N44" si="4">G7*0.9</f>
        <v>141.14016000000001</v>
      </c>
      <c r="O7" s="75"/>
      <c r="P7" s="91">
        <v>70.010000000000005</v>
      </c>
      <c r="Q7" s="17">
        <v>37</v>
      </c>
      <c r="R7" s="9" t="s">
        <v>13</v>
      </c>
      <c r="S7" s="10">
        <v>300</v>
      </c>
      <c r="T7" s="92">
        <f>P7*$S$1</f>
        <v>98.013999999999996</v>
      </c>
    </row>
    <row r="8" spans="1:20" ht="20.100000000000001" customHeight="1" x14ac:dyDescent="0.25">
      <c r="A8" s="21"/>
      <c r="B8" s="21"/>
      <c r="C8" s="21"/>
      <c r="D8" s="127"/>
      <c r="E8" s="130" t="e">
        <f t="shared" si="0"/>
        <v>#DIV/0!</v>
      </c>
      <c r="F8" s="72"/>
      <c r="G8" s="126">
        <f t="shared" si="2"/>
        <v>0</v>
      </c>
      <c r="H8" s="130" t="e">
        <f t="shared" si="1"/>
        <v>#DIV/0!</v>
      </c>
      <c r="I8" s="72"/>
      <c r="J8" s="133"/>
      <c r="K8" s="23"/>
      <c r="L8" s="134">
        <f t="shared" si="3"/>
        <v>0</v>
      </c>
      <c r="M8" s="100"/>
      <c r="N8" s="98">
        <f t="shared" si="4"/>
        <v>0</v>
      </c>
      <c r="O8" s="101"/>
      <c r="P8" s="93"/>
      <c r="Q8" s="22"/>
      <c r="R8" s="21"/>
      <c r="S8" s="22"/>
      <c r="T8" s="94"/>
    </row>
    <row r="9" spans="1:20" ht="20.100000000000001" customHeight="1" x14ac:dyDescent="0.25">
      <c r="A9" s="13" t="s">
        <v>16</v>
      </c>
      <c r="B9" s="13" t="s">
        <v>17</v>
      </c>
      <c r="C9" s="13"/>
      <c r="D9" s="128">
        <f>T9*$S$2</f>
        <v>238.81200000000001</v>
      </c>
      <c r="E9" s="129">
        <f t="shared" si="0"/>
        <v>2</v>
      </c>
      <c r="F9" s="20"/>
      <c r="G9" s="126">
        <f t="shared" si="2"/>
        <v>191.04960000000003</v>
      </c>
      <c r="H9" s="131">
        <f t="shared" si="1"/>
        <v>1.6</v>
      </c>
      <c r="I9" s="20"/>
      <c r="J9" s="132">
        <f>(D9/S9)*1.5</f>
        <v>1.1940600000000001</v>
      </c>
      <c r="K9" s="19"/>
      <c r="L9" s="134">
        <f t="shared" si="3"/>
        <v>0.9552480000000001</v>
      </c>
      <c r="N9" s="98">
        <f t="shared" si="4"/>
        <v>171.94464000000002</v>
      </c>
      <c r="O9" s="75"/>
      <c r="P9" s="91">
        <v>85.29</v>
      </c>
      <c r="Q9" s="17">
        <v>57</v>
      </c>
      <c r="R9" s="9" t="s">
        <v>13</v>
      </c>
      <c r="S9" s="10">
        <v>300</v>
      </c>
      <c r="T9" s="92">
        <f>P9*$S$1</f>
        <v>119.40600000000001</v>
      </c>
    </row>
    <row r="10" spans="1:20" ht="20.100000000000001" customHeight="1" x14ac:dyDescent="0.25">
      <c r="A10" s="13" t="s">
        <v>18</v>
      </c>
      <c r="B10" s="13" t="s">
        <v>19</v>
      </c>
      <c r="C10" s="13"/>
      <c r="D10" s="128">
        <f>T10*$S$2</f>
        <v>267.34399999999999</v>
      </c>
      <c r="E10" s="129">
        <f t="shared" si="0"/>
        <v>2</v>
      </c>
      <c r="F10" s="20"/>
      <c r="G10" s="126">
        <f t="shared" si="2"/>
        <v>213.87520000000001</v>
      </c>
      <c r="H10" s="131">
        <f t="shared" si="1"/>
        <v>1.6</v>
      </c>
      <c r="I10" s="20"/>
      <c r="J10" s="132">
        <f>(D10/S10)*1.5</f>
        <v>1.3367199999999999</v>
      </c>
      <c r="K10" s="19"/>
      <c r="L10" s="134">
        <f t="shared" si="3"/>
        <v>1.0693759999999999</v>
      </c>
      <c r="N10" s="98">
        <f t="shared" si="4"/>
        <v>192.48768000000001</v>
      </c>
      <c r="O10" s="75"/>
      <c r="P10" s="91">
        <v>95.48</v>
      </c>
      <c r="Q10" s="17">
        <v>55</v>
      </c>
      <c r="R10" s="9" t="s">
        <v>13</v>
      </c>
      <c r="S10" s="10">
        <v>300</v>
      </c>
      <c r="T10" s="92">
        <f>P10*$S$1</f>
        <v>133.672</v>
      </c>
    </row>
    <row r="11" spans="1:20" ht="20.100000000000001" customHeight="1" x14ac:dyDescent="0.25">
      <c r="A11" s="13" t="s">
        <v>20</v>
      </c>
      <c r="B11" s="13" t="s">
        <v>21</v>
      </c>
      <c r="C11" s="13"/>
      <c r="D11" s="128">
        <f>T11*$S$2</f>
        <v>281.59599999999995</v>
      </c>
      <c r="E11" s="129">
        <f t="shared" si="0"/>
        <v>2</v>
      </c>
      <c r="F11" s="20"/>
      <c r="G11" s="126">
        <f t="shared" si="2"/>
        <v>225.27679999999998</v>
      </c>
      <c r="H11" s="131">
        <f t="shared" si="1"/>
        <v>1.6</v>
      </c>
      <c r="I11" s="20"/>
      <c r="J11" s="132">
        <f>(D11/S11)*1.5</f>
        <v>1.4079799999999998</v>
      </c>
      <c r="K11" s="19"/>
      <c r="L11" s="134">
        <f t="shared" si="3"/>
        <v>1.1263839999999998</v>
      </c>
      <c r="N11" s="98">
        <f t="shared" si="4"/>
        <v>202.74911999999998</v>
      </c>
      <c r="O11" s="76"/>
      <c r="P11" s="91">
        <v>100.57</v>
      </c>
      <c r="Q11" s="17">
        <v>55</v>
      </c>
      <c r="R11" s="9" t="s">
        <v>13</v>
      </c>
      <c r="S11" s="17">
        <v>300</v>
      </c>
      <c r="T11" s="92">
        <f>P11*$S$1</f>
        <v>140.79799999999997</v>
      </c>
    </row>
    <row r="12" spans="1:20" ht="20.100000000000001" customHeight="1" x14ac:dyDescent="0.25">
      <c r="A12" s="21"/>
      <c r="B12" s="21"/>
      <c r="C12" s="21"/>
      <c r="D12" s="127"/>
      <c r="E12" s="130" t="e">
        <f t="shared" si="0"/>
        <v>#DIV/0!</v>
      </c>
      <c r="F12" s="72"/>
      <c r="G12" s="126">
        <f t="shared" si="2"/>
        <v>0</v>
      </c>
      <c r="H12" s="130" t="e">
        <f t="shared" si="1"/>
        <v>#DIV/0!</v>
      </c>
      <c r="I12" s="72"/>
      <c r="J12" s="133"/>
      <c r="K12" s="23"/>
      <c r="L12" s="134">
        <f t="shared" si="3"/>
        <v>0</v>
      </c>
      <c r="M12" s="100"/>
      <c r="N12" s="98">
        <f t="shared" si="4"/>
        <v>0</v>
      </c>
      <c r="O12" s="101"/>
      <c r="P12" s="93"/>
      <c r="Q12" s="22"/>
      <c r="R12" s="21"/>
      <c r="S12" s="22"/>
      <c r="T12" s="94"/>
    </row>
    <row r="13" spans="1:20" ht="20.100000000000001" customHeight="1" x14ac:dyDescent="0.25">
      <c r="A13" s="13" t="s">
        <v>22</v>
      </c>
      <c r="B13" s="13" t="s">
        <v>23</v>
      </c>
      <c r="C13" s="13"/>
      <c r="D13" s="128">
        <f t="shared" ref="D13:D22" si="5">T13*$S$2</f>
        <v>388.52799999999996</v>
      </c>
      <c r="E13" s="129">
        <f t="shared" si="0"/>
        <v>2</v>
      </c>
      <c r="F13" s="20"/>
      <c r="G13" s="126">
        <f t="shared" si="2"/>
        <v>310.82240000000002</v>
      </c>
      <c r="H13" s="131">
        <f t="shared" si="1"/>
        <v>1.6000000000000003</v>
      </c>
      <c r="I13" s="20"/>
      <c r="J13" s="132">
        <f t="shared" ref="J13:J22" si="6">(D13/S13)*1.5</f>
        <v>1.9426399999999999</v>
      </c>
      <c r="K13" s="19"/>
      <c r="L13" s="134">
        <f t="shared" si="3"/>
        <v>1.5541119999999999</v>
      </c>
      <c r="N13" s="98">
        <f t="shared" si="4"/>
        <v>279.74016</v>
      </c>
      <c r="O13" s="75"/>
      <c r="P13" s="91">
        <v>138.76</v>
      </c>
      <c r="Q13" s="17">
        <v>102</v>
      </c>
      <c r="R13" s="9" t="s">
        <v>24</v>
      </c>
      <c r="S13" s="10">
        <v>300</v>
      </c>
      <c r="T13" s="92">
        <f t="shared" ref="T13:T22" si="7">P13*$S$1</f>
        <v>194.26399999999998</v>
      </c>
    </row>
    <row r="14" spans="1:20" ht="20.100000000000001" customHeight="1" x14ac:dyDescent="0.25">
      <c r="A14" s="13" t="s">
        <v>25</v>
      </c>
      <c r="B14" s="13" t="s">
        <v>26</v>
      </c>
      <c r="C14" s="13"/>
      <c r="D14" s="128">
        <f t="shared" si="5"/>
        <v>434.86799999999999</v>
      </c>
      <c r="E14" s="129">
        <f t="shared" si="0"/>
        <v>2</v>
      </c>
      <c r="F14" s="20"/>
      <c r="G14" s="126">
        <f t="shared" si="2"/>
        <v>347.89440000000002</v>
      </c>
      <c r="H14" s="131">
        <f t="shared" si="1"/>
        <v>1.6</v>
      </c>
      <c r="I14" s="20"/>
      <c r="J14" s="132">
        <f t="shared" si="6"/>
        <v>2.1743399999999999</v>
      </c>
      <c r="K14" s="19"/>
      <c r="L14" s="134">
        <f t="shared" si="3"/>
        <v>1.7394720000000001</v>
      </c>
      <c r="N14" s="98">
        <f t="shared" si="4"/>
        <v>313.10496000000001</v>
      </c>
      <c r="O14" s="75"/>
      <c r="P14" s="91">
        <v>155.31</v>
      </c>
      <c r="Q14" s="17">
        <v>98</v>
      </c>
      <c r="R14" s="9" t="s">
        <v>24</v>
      </c>
      <c r="S14" s="10">
        <v>300</v>
      </c>
      <c r="T14" s="92">
        <f t="shared" si="7"/>
        <v>217.434</v>
      </c>
    </row>
    <row r="15" spans="1:20" ht="20.100000000000001" customHeight="1" x14ac:dyDescent="0.25">
      <c r="A15" s="13" t="s">
        <v>27</v>
      </c>
      <c r="B15" s="13" t="s">
        <v>28</v>
      </c>
      <c r="C15" s="13"/>
      <c r="D15" s="128">
        <f t="shared" si="5"/>
        <v>456.25999999999993</v>
      </c>
      <c r="E15" s="129">
        <f t="shared" si="0"/>
        <v>2</v>
      </c>
      <c r="F15" s="20"/>
      <c r="G15" s="126">
        <f t="shared" si="2"/>
        <v>365.00799999999998</v>
      </c>
      <c r="H15" s="131">
        <f t="shared" si="1"/>
        <v>1.6</v>
      </c>
      <c r="I15" s="20"/>
      <c r="J15" s="132">
        <f t="shared" si="6"/>
        <v>2.2812999999999994</v>
      </c>
      <c r="K15" s="19"/>
      <c r="L15" s="134">
        <f t="shared" si="3"/>
        <v>1.8250399999999996</v>
      </c>
      <c r="N15" s="98">
        <f t="shared" si="4"/>
        <v>328.50720000000001</v>
      </c>
      <c r="O15" s="76"/>
      <c r="P15" s="91">
        <v>162.94999999999999</v>
      </c>
      <c r="Q15" s="17">
        <v>98</v>
      </c>
      <c r="R15" s="9" t="s">
        <v>24</v>
      </c>
      <c r="S15" s="10">
        <v>300</v>
      </c>
      <c r="T15" s="92">
        <f t="shared" si="7"/>
        <v>228.12999999999997</v>
      </c>
    </row>
    <row r="16" spans="1:20" ht="20.100000000000001" customHeight="1" x14ac:dyDescent="0.25">
      <c r="A16" s="13" t="s">
        <v>29</v>
      </c>
      <c r="B16" s="13" t="s">
        <v>30</v>
      </c>
      <c r="C16" s="13"/>
      <c r="D16" s="128">
        <f t="shared" si="5"/>
        <v>234.66799999999998</v>
      </c>
      <c r="E16" s="129">
        <f t="shared" si="0"/>
        <v>2</v>
      </c>
      <c r="F16" s="20"/>
      <c r="G16" s="126">
        <f t="shared" si="2"/>
        <v>187.73439999999999</v>
      </c>
      <c r="H16" s="131">
        <f t="shared" si="1"/>
        <v>1.6</v>
      </c>
      <c r="I16" s="20"/>
      <c r="J16" s="132">
        <f t="shared" si="6"/>
        <v>2.3466800000000001</v>
      </c>
      <c r="K16" s="19"/>
      <c r="L16" s="134">
        <f t="shared" si="3"/>
        <v>1.8773440000000001</v>
      </c>
      <c r="N16" s="98">
        <f t="shared" si="4"/>
        <v>168.96096</v>
      </c>
      <c r="O16" s="76"/>
      <c r="P16" s="91">
        <v>83.81</v>
      </c>
      <c r="Q16" s="17">
        <v>52</v>
      </c>
      <c r="R16" s="9" t="s">
        <v>24</v>
      </c>
      <c r="S16" s="10">
        <v>150</v>
      </c>
      <c r="T16" s="92">
        <f t="shared" si="7"/>
        <v>117.33399999999999</v>
      </c>
    </row>
    <row r="17" spans="1:20" ht="20.100000000000001" customHeight="1" x14ac:dyDescent="0.25">
      <c r="A17" s="13" t="s">
        <v>31</v>
      </c>
      <c r="B17" s="13" t="s">
        <v>32</v>
      </c>
      <c r="C17" s="13"/>
      <c r="D17" s="128">
        <f t="shared" si="5"/>
        <v>262.08</v>
      </c>
      <c r="E17" s="129">
        <f t="shared" si="0"/>
        <v>2</v>
      </c>
      <c r="F17" s="20"/>
      <c r="G17" s="126">
        <f t="shared" si="2"/>
        <v>209.66399999999999</v>
      </c>
      <c r="H17" s="131">
        <f t="shared" si="1"/>
        <v>1.6</v>
      </c>
      <c r="I17" s="20"/>
      <c r="J17" s="132">
        <f t="shared" si="6"/>
        <v>2.6208</v>
      </c>
      <c r="K17" s="19"/>
      <c r="L17" s="134">
        <f t="shared" si="3"/>
        <v>2.0966400000000003</v>
      </c>
      <c r="N17" s="98">
        <f t="shared" si="4"/>
        <v>188.69759999999999</v>
      </c>
      <c r="O17" s="76"/>
      <c r="P17" s="91">
        <v>93.6</v>
      </c>
      <c r="Q17" s="17">
        <v>51</v>
      </c>
      <c r="R17" s="9" t="s">
        <v>24</v>
      </c>
      <c r="S17" s="10">
        <v>150</v>
      </c>
      <c r="T17" s="92">
        <f t="shared" si="7"/>
        <v>131.04</v>
      </c>
    </row>
    <row r="18" spans="1:20" ht="20.100000000000001" customHeight="1" x14ac:dyDescent="0.25">
      <c r="A18" s="13" t="s">
        <v>33</v>
      </c>
      <c r="B18" s="13" t="s">
        <v>34</v>
      </c>
      <c r="C18" s="13"/>
      <c r="D18" s="128">
        <f t="shared" si="5"/>
        <v>466.92799999999994</v>
      </c>
      <c r="E18" s="129">
        <f t="shared" si="0"/>
        <v>2</v>
      </c>
      <c r="F18" s="20"/>
      <c r="G18" s="126">
        <f t="shared" si="2"/>
        <v>373.54239999999999</v>
      </c>
      <c r="H18" s="131">
        <f t="shared" si="1"/>
        <v>1.6</v>
      </c>
      <c r="I18" s="20"/>
      <c r="J18" s="132">
        <f t="shared" si="6"/>
        <v>2.3346399999999994</v>
      </c>
      <c r="K18" s="19"/>
      <c r="L18" s="134">
        <f t="shared" si="3"/>
        <v>1.8677119999999996</v>
      </c>
      <c r="N18" s="98">
        <f t="shared" si="4"/>
        <v>336.18815999999998</v>
      </c>
      <c r="O18" s="76"/>
      <c r="P18" s="91">
        <v>166.76</v>
      </c>
      <c r="Q18" s="17">
        <v>102</v>
      </c>
      <c r="R18" s="9" t="s">
        <v>24</v>
      </c>
      <c r="S18" s="10">
        <v>300</v>
      </c>
      <c r="T18" s="92">
        <f t="shared" si="7"/>
        <v>233.46399999999997</v>
      </c>
    </row>
    <row r="19" spans="1:20" ht="20.100000000000001" customHeight="1" x14ac:dyDescent="0.25">
      <c r="A19" s="13" t="s">
        <v>35</v>
      </c>
      <c r="B19" s="13" t="s">
        <v>36</v>
      </c>
      <c r="C19" s="13"/>
      <c r="D19" s="128">
        <f t="shared" si="5"/>
        <v>527.548</v>
      </c>
      <c r="E19" s="129">
        <f t="shared" si="0"/>
        <v>2</v>
      </c>
      <c r="F19" s="20"/>
      <c r="G19" s="126">
        <f t="shared" si="2"/>
        <v>422.03840000000002</v>
      </c>
      <c r="H19" s="131">
        <f t="shared" si="1"/>
        <v>1.6</v>
      </c>
      <c r="I19" s="20"/>
      <c r="J19" s="132">
        <f t="shared" si="6"/>
        <v>2.63774</v>
      </c>
      <c r="K19" s="19"/>
      <c r="L19" s="134">
        <f t="shared" si="3"/>
        <v>2.1101920000000001</v>
      </c>
      <c r="N19" s="98">
        <f t="shared" si="4"/>
        <v>379.83456000000001</v>
      </c>
      <c r="O19" s="76"/>
      <c r="P19" s="91">
        <v>188.41</v>
      </c>
      <c r="Q19" s="17">
        <v>102</v>
      </c>
      <c r="R19" s="9" t="s">
        <v>24</v>
      </c>
      <c r="S19" s="10">
        <v>300</v>
      </c>
      <c r="T19" s="92">
        <f t="shared" si="7"/>
        <v>263.774</v>
      </c>
    </row>
    <row r="20" spans="1:20" ht="20.100000000000001" customHeight="1" x14ac:dyDescent="0.25">
      <c r="A20" s="13" t="s">
        <v>37</v>
      </c>
      <c r="B20" s="13" t="s">
        <v>91</v>
      </c>
      <c r="C20" s="13"/>
      <c r="D20" s="128">
        <f t="shared" si="5"/>
        <v>499.04399999999993</v>
      </c>
      <c r="E20" s="129">
        <f t="shared" si="0"/>
        <v>2</v>
      </c>
      <c r="F20" s="20"/>
      <c r="G20" s="126">
        <f t="shared" si="2"/>
        <v>399.23519999999996</v>
      </c>
      <c r="H20" s="131">
        <f t="shared" si="1"/>
        <v>1.6</v>
      </c>
      <c r="I20" s="20"/>
      <c r="J20" s="132">
        <f t="shared" si="6"/>
        <v>2.4952199999999998</v>
      </c>
      <c r="K20" s="19"/>
      <c r="L20" s="134">
        <f t="shared" si="3"/>
        <v>1.996176</v>
      </c>
      <c r="N20" s="98">
        <f t="shared" si="4"/>
        <v>359.31167999999997</v>
      </c>
      <c r="O20" s="76"/>
      <c r="P20" s="91">
        <v>178.23</v>
      </c>
      <c r="Q20" s="17">
        <v>110</v>
      </c>
      <c r="R20" s="9" t="s">
        <v>24</v>
      </c>
      <c r="S20" s="10">
        <v>300</v>
      </c>
      <c r="T20" s="92">
        <f t="shared" si="7"/>
        <v>249.52199999999996</v>
      </c>
    </row>
    <row r="21" spans="1:20" ht="20.100000000000001" customHeight="1" x14ac:dyDescent="0.25">
      <c r="A21" s="13" t="s">
        <v>38</v>
      </c>
      <c r="B21" s="13" t="s">
        <v>92</v>
      </c>
      <c r="C21" s="13"/>
      <c r="D21" s="128">
        <f t="shared" si="5"/>
        <v>771.23199999999997</v>
      </c>
      <c r="E21" s="129">
        <f t="shared" si="0"/>
        <v>2</v>
      </c>
      <c r="F21" s="20"/>
      <c r="G21" s="126">
        <f t="shared" si="2"/>
        <v>616.98559999999998</v>
      </c>
      <c r="H21" s="131">
        <f t="shared" si="1"/>
        <v>1.6</v>
      </c>
      <c r="I21" s="20"/>
      <c r="J21" s="132">
        <f t="shared" si="6"/>
        <v>3.85616</v>
      </c>
      <c r="K21" s="19"/>
      <c r="L21" s="134">
        <f t="shared" si="3"/>
        <v>3.0849280000000001</v>
      </c>
      <c r="N21" s="98">
        <f t="shared" si="4"/>
        <v>555.28704000000005</v>
      </c>
      <c r="O21" s="76"/>
      <c r="P21" s="91">
        <v>275.44</v>
      </c>
      <c r="Q21" s="17">
        <v>110</v>
      </c>
      <c r="R21" s="9" t="s">
        <v>24</v>
      </c>
      <c r="S21" s="10">
        <v>300</v>
      </c>
      <c r="T21" s="92">
        <f t="shared" si="7"/>
        <v>385.61599999999999</v>
      </c>
    </row>
    <row r="22" spans="1:20" ht="20.100000000000001" customHeight="1" x14ac:dyDescent="0.25">
      <c r="A22" s="13" t="s">
        <v>39</v>
      </c>
      <c r="B22" s="13" t="s">
        <v>40</v>
      </c>
      <c r="C22" s="13"/>
      <c r="D22" s="128">
        <f t="shared" si="5"/>
        <v>633.22</v>
      </c>
      <c r="E22" s="129">
        <f t="shared" si="0"/>
        <v>2</v>
      </c>
      <c r="F22" s="20"/>
      <c r="G22" s="126">
        <f t="shared" si="2"/>
        <v>506.57600000000002</v>
      </c>
      <c r="H22" s="131">
        <f t="shared" si="1"/>
        <v>1.6</v>
      </c>
      <c r="I22" s="20"/>
      <c r="J22" s="132">
        <f t="shared" si="6"/>
        <v>3.1661000000000001</v>
      </c>
      <c r="K22" s="19"/>
      <c r="L22" s="134">
        <f t="shared" si="3"/>
        <v>2.5328800000000005</v>
      </c>
      <c r="N22" s="98">
        <f t="shared" si="4"/>
        <v>455.91840000000002</v>
      </c>
      <c r="O22" s="75"/>
      <c r="P22" s="91">
        <v>226.15</v>
      </c>
      <c r="Q22" s="17">
        <v>102</v>
      </c>
      <c r="R22" s="9" t="s">
        <v>24</v>
      </c>
      <c r="S22" s="10">
        <v>300</v>
      </c>
      <c r="T22" s="92">
        <f t="shared" si="7"/>
        <v>316.61</v>
      </c>
    </row>
    <row r="23" spans="1:20" ht="20.100000000000001" customHeight="1" x14ac:dyDescent="0.25">
      <c r="A23" s="21"/>
      <c r="B23" s="21"/>
      <c r="C23" s="21"/>
      <c r="D23" s="127"/>
      <c r="E23" s="130" t="e">
        <f t="shared" si="0"/>
        <v>#DIV/0!</v>
      </c>
      <c r="F23" s="72"/>
      <c r="G23" s="126">
        <f t="shared" si="2"/>
        <v>0</v>
      </c>
      <c r="H23" s="130" t="e">
        <f t="shared" si="1"/>
        <v>#DIV/0!</v>
      </c>
      <c r="I23" s="72"/>
      <c r="J23" s="133"/>
      <c r="K23" s="23"/>
      <c r="L23" s="134">
        <f t="shared" si="3"/>
        <v>0</v>
      </c>
      <c r="M23" s="100"/>
      <c r="N23" s="98">
        <f t="shared" si="4"/>
        <v>0</v>
      </c>
      <c r="O23" s="101"/>
      <c r="P23" s="93"/>
      <c r="Q23" s="22"/>
      <c r="R23" s="22"/>
      <c r="S23" s="22"/>
      <c r="T23" s="95"/>
    </row>
    <row r="24" spans="1:20" ht="20.100000000000001" customHeight="1" x14ac:dyDescent="0.25">
      <c r="A24" s="13" t="s">
        <v>41</v>
      </c>
      <c r="B24" s="13" t="s">
        <v>42</v>
      </c>
      <c r="C24" s="13"/>
      <c r="D24" s="128">
        <f t="shared" ref="D24:D30" si="8">T24*$S$2</f>
        <v>608.35599999999999</v>
      </c>
      <c r="E24" s="129">
        <f t="shared" si="0"/>
        <v>2</v>
      </c>
      <c r="F24" s="20"/>
      <c r="G24" s="126">
        <f t="shared" si="2"/>
        <v>486.6848</v>
      </c>
      <c r="H24" s="131">
        <f t="shared" si="1"/>
        <v>1.6</v>
      </c>
      <c r="I24" s="20"/>
      <c r="J24" s="132">
        <f t="shared" ref="J24:J30" si="9">(D24/S24)*1.5</f>
        <v>4.5626700000000007</v>
      </c>
      <c r="K24" s="19"/>
      <c r="L24" s="134">
        <f t="shared" si="3"/>
        <v>3.6501360000000007</v>
      </c>
      <c r="N24" s="98">
        <f t="shared" si="4"/>
        <v>438.01632000000001</v>
      </c>
      <c r="O24" s="75"/>
      <c r="P24" s="91">
        <v>217.27</v>
      </c>
      <c r="Q24" s="17">
        <v>152</v>
      </c>
      <c r="R24" s="9" t="s">
        <v>43</v>
      </c>
      <c r="S24" s="10">
        <v>200</v>
      </c>
      <c r="T24" s="92">
        <f t="shared" ref="T24:T30" si="10">P24*$S$1</f>
        <v>304.178</v>
      </c>
    </row>
    <row r="25" spans="1:20" ht="20.100000000000001" customHeight="1" x14ac:dyDescent="0.25">
      <c r="A25" s="13" t="s">
        <v>44</v>
      </c>
      <c r="B25" s="13" t="s">
        <v>45</v>
      </c>
      <c r="C25" s="13"/>
      <c r="D25" s="128">
        <f t="shared" si="8"/>
        <v>682.024</v>
      </c>
      <c r="E25" s="129">
        <f t="shared" si="0"/>
        <v>2</v>
      </c>
      <c r="F25" s="20"/>
      <c r="G25" s="126">
        <f t="shared" si="2"/>
        <v>545.61919999999998</v>
      </c>
      <c r="H25" s="131">
        <f t="shared" si="1"/>
        <v>1.5999999999999999</v>
      </c>
      <c r="I25" s="20"/>
      <c r="J25" s="132">
        <f t="shared" si="9"/>
        <v>5.1151800000000005</v>
      </c>
      <c r="K25" s="19"/>
      <c r="L25" s="134">
        <f t="shared" si="3"/>
        <v>4.0921440000000002</v>
      </c>
      <c r="N25" s="98">
        <f t="shared" si="4"/>
        <v>491.05727999999999</v>
      </c>
      <c r="O25" s="75"/>
      <c r="P25" s="91">
        <v>243.58</v>
      </c>
      <c r="Q25" s="17">
        <v>147</v>
      </c>
      <c r="R25" s="9" t="s">
        <v>43</v>
      </c>
      <c r="S25" s="10">
        <v>200</v>
      </c>
      <c r="T25" s="92">
        <f t="shared" si="10"/>
        <v>341.012</v>
      </c>
    </row>
    <row r="26" spans="1:20" ht="20.100000000000001" customHeight="1" x14ac:dyDescent="0.25">
      <c r="A26" s="13" t="s">
        <v>46</v>
      </c>
      <c r="B26" s="13" t="s">
        <v>47</v>
      </c>
      <c r="C26" s="13"/>
      <c r="D26" s="128">
        <f t="shared" si="8"/>
        <v>715.25999999999988</v>
      </c>
      <c r="E26" s="129">
        <f t="shared" si="0"/>
        <v>2</v>
      </c>
      <c r="F26" s="20"/>
      <c r="G26" s="126">
        <f t="shared" si="2"/>
        <v>572.20799999999997</v>
      </c>
      <c r="H26" s="131">
        <f t="shared" si="1"/>
        <v>1.6</v>
      </c>
      <c r="I26" s="20"/>
      <c r="J26" s="132">
        <f t="shared" si="9"/>
        <v>5.3644499999999988</v>
      </c>
      <c r="K26" s="19"/>
      <c r="L26" s="134">
        <f t="shared" si="3"/>
        <v>4.2915599999999996</v>
      </c>
      <c r="N26" s="98">
        <f t="shared" si="4"/>
        <v>514.98720000000003</v>
      </c>
      <c r="O26" s="76"/>
      <c r="P26" s="91">
        <v>255.45</v>
      </c>
      <c r="Q26" s="17">
        <v>147</v>
      </c>
      <c r="R26" s="9" t="s">
        <v>43</v>
      </c>
      <c r="S26" s="10">
        <v>200</v>
      </c>
      <c r="T26" s="92">
        <f t="shared" si="10"/>
        <v>357.62999999999994</v>
      </c>
    </row>
    <row r="27" spans="1:20" ht="20.100000000000001" customHeight="1" x14ac:dyDescent="0.25">
      <c r="A27" s="13" t="s">
        <v>48</v>
      </c>
      <c r="B27" s="13" t="s">
        <v>49</v>
      </c>
      <c r="C27" s="13"/>
      <c r="D27" s="128">
        <f t="shared" si="8"/>
        <v>551.48799999999994</v>
      </c>
      <c r="E27" s="129">
        <f t="shared" si="0"/>
        <v>2</v>
      </c>
      <c r="F27" s="20"/>
      <c r="G27" s="126">
        <f t="shared" si="2"/>
        <v>441.19039999999995</v>
      </c>
      <c r="H27" s="131">
        <f t="shared" si="1"/>
        <v>1.6</v>
      </c>
      <c r="I27" s="20"/>
      <c r="J27" s="132">
        <f t="shared" si="9"/>
        <v>5.5148799999999998</v>
      </c>
      <c r="K27" s="19"/>
      <c r="L27" s="134">
        <f t="shared" si="3"/>
        <v>4.4119039999999998</v>
      </c>
      <c r="N27" s="98">
        <f t="shared" si="4"/>
        <v>397.07135999999997</v>
      </c>
      <c r="O27" s="76"/>
      <c r="P27" s="91">
        <v>196.96</v>
      </c>
      <c r="Q27" s="17">
        <v>114</v>
      </c>
      <c r="R27" s="9" t="s">
        <v>50</v>
      </c>
      <c r="S27" s="10">
        <v>150</v>
      </c>
      <c r="T27" s="92">
        <f t="shared" si="10"/>
        <v>275.74399999999997</v>
      </c>
    </row>
    <row r="28" spans="1:20" ht="20.100000000000001" customHeight="1" x14ac:dyDescent="0.25">
      <c r="A28" s="13" t="s">
        <v>51</v>
      </c>
      <c r="B28" s="13" t="s">
        <v>93</v>
      </c>
      <c r="C28" s="13"/>
      <c r="D28" s="128">
        <f t="shared" si="8"/>
        <v>618.01599999999996</v>
      </c>
      <c r="E28" s="129">
        <f t="shared" si="0"/>
        <v>2</v>
      </c>
      <c r="F28" s="20"/>
      <c r="G28" s="126">
        <f t="shared" si="2"/>
        <v>494.4128</v>
      </c>
      <c r="H28" s="131">
        <f t="shared" si="1"/>
        <v>1.6</v>
      </c>
      <c r="I28" s="20"/>
      <c r="J28" s="132">
        <f t="shared" si="9"/>
        <v>6.1801599999999999</v>
      </c>
      <c r="K28" s="19"/>
      <c r="L28" s="134">
        <f t="shared" si="3"/>
        <v>4.9441280000000001</v>
      </c>
      <c r="N28" s="98">
        <f t="shared" si="4"/>
        <v>444.97152</v>
      </c>
      <c r="O28" s="76"/>
      <c r="P28" s="91">
        <v>220.72</v>
      </c>
      <c r="Q28" s="17">
        <v>110</v>
      </c>
      <c r="R28" s="9" t="s">
        <v>50</v>
      </c>
      <c r="S28" s="10">
        <v>150</v>
      </c>
      <c r="T28" s="92">
        <f t="shared" si="10"/>
        <v>309.00799999999998</v>
      </c>
    </row>
    <row r="29" spans="1:20" ht="20.100000000000001" customHeight="1" x14ac:dyDescent="0.25">
      <c r="A29" s="13" t="s">
        <v>263</v>
      </c>
      <c r="B29" s="13" t="s">
        <v>264</v>
      </c>
      <c r="C29" s="13"/>
      <c r="D29" s="128">
        <f t="shared" si="8"/>
        <v>644.41999999999996</v>
      </c>
      <c r="E29" s="129">
        <f t="shared" si="0"/>
        <v>2</v>
      </c>
      <c r="F29" s="20"/>
      <c r="G29" s="126">
        <f t="shared" si="2"/>
        <v>515.53599999999994</v>
      </c>
      <c r="H29" s="131">
        <f t="shared" si="1"/>
        <v>1.5999999999999999</v>
      </c>
      <c r="I29" s="20"/>
      <c r="J29" s="132">
        <f t="shared" si="9"/>
        <v>3.2220999999999993</v>
      </c>
      <c r="K29" s="19"/>
      <c r="L29" s="134">
        <f t="shared" si="3"/>
        <v>2.5776799999999995</v>
      </c>
      <c r="N29" s="98">
        <f t="shared" si="4"/>
        <v>463.98239999999998</v>
      </c>
      <c r="O29" s="76"/>
      <c r="P29" s="91">
        <v>230.15</v>
      </c>
      <c r="Q29" s="17">
        <v>147</v>
      </c>
      <c r="R29" s="9" t="s">
        <v>24</v>
      </c>
      <c r="S29" s="10">
        <v>300</v>
      </c>
      <c r="T29" s="92">
        <f t="shared" si="10"/>
        <v>322.20999999999998</v>
      </c>
    </row>
    <row r="30" spans="1:20" ht="20.100000000000001" customHeight="1" x14ac:dyDescent="0.25">
      <c r="A30" s="13" t="s">
        <v>52</v>
      </c>
      <c r="B30" s="13" t="s">
        <v>53</v>
      </c>
      <c r="C30" s="13"/>
      <c r="D30" s="128">
        <f t="shared" si="8"/>
        <v>784.19599999999991</v>
      </c>
      <c r="E30" s="129">
        <f t="shared" si="0"/>
        <v>2</v>
      </c>
      <c r="F30" s="20"/>
      <c r="G30" s="126">
        <f t="shared" si="2"/>
        <v>627.35680000000002</v>
      </c>
      <c r="H30" s="131">
        <f t="shared" si="1"/>
        <v>1.6000000000000003</v>
      </c>
      <c r="I30" s="20"/>
      <c r="J30" s="132">
        <f t="shared" si="9"/>
        <v>5.8814699999999993</v>
      </c>
      <c r="K30" s="19"/>
      <c r="L30" s="134">
        <f t="shared" si="3"/>
        <v>4.7051759999999998</v>
      </c>
      <c r="N30" s="98">
        <f t="shared" si="4"/>
        <v>564.62112000000002</v>
      </c>
      <c r="O30" s="75"/>
      <c r="P30" s="91">
        <v>280.07</v>
      </c>
      <c r="Q30" s="17">
        <v>152</v>
      </c>
      <c r="R30" s="9" t="s">
        <v>231</v>
      </c>
      <c r="S30" s="17">
        <v>200</v>
      </c>
      <c r="T30" s="92">
        <f t="shared" si="10"/>
        <v>392.09799999999996</v>
      </c>
    </row>
    <row r="31" spans="1:20" ht="20.100000000000001" customHeight="1" x14ac:dyDescent="0.25">
      <c r="A31" s="21"/>
      <c r="B31" s="21"/>
      <c r="C31" s="21"/>
      <c r="D31" s="127"/>
      <c r="E31" s="130" t="e">
        <f t="shared" si="0"/>
        <v>#DIV/0!</v>
      </c>
      <c r="F31" s="72"/>
      <c r="G31" s="126">
        <f t="shared" si="2"/>
        <v>0</v>
      </c>
      <c r="H31" s="130" t="e">
        <f t="shared" si="1"/>
        <v>#DIV/0!</v>
      </c>
      <c r="I31" s="72"/>
      <c r="J31" s="133"/>
      <c r="K31" s="23"/>
      <c r="L31" s="134">
        <f t="shared" si="3"/>
        <v>0</v>
      </c>
      <c r="M31" s="100"/>
      <c r="N31" s="98">
        <f t="shared" si="4"/>
        <v>0</v>
      </c>
      <c r="O31" s="101"/>
      <c r="P31" s="93"/>
      <c r="Q31" s="22"/>
      <c r="R31" s="22"/>
      <c r="S31" s="22"/>
      <c r="T31" s="95"/>
    </row>
    <row r="32" spans="1:20" ht="20.100000000000001" customHeight="1" x14ac:dyDescent="0.25">
      <c r="A32" s="13" t="s">
        <v>54</v>
      </c>
      <c r="B32" s="13" t="s">
        <v>55</v>
      </c>
      <c r="C32" s="13"/>
      <c r="D32" s="128">
        <f>T32*$S$2</f>
        <v>551.31999999999994</v>
      </c>
      <c r="E32" s="129">
        <f t="shared" si="0"/>
        <v>2</v>
      </c>
      <c r="F32" s="20"/>
      <c r="G32" s="126">
        <f t="shared" si="2"/>
        <v>441.05599999999998</v>
      </c>
      <c r="H32" s="131">
        <f t="shared" si="1"/>
        <v>1.6</v>
      </c>
      <c r="I32" s="20"/>
      <c r="J32" s="132">
        <f>(D32/S32)*1.5</f>
        <v>8.2698</v>
      </c>
      <c r="K32" s="19"/>
      <c r="L32" s="134">
        <f t="shared" si="3"/>
        <v>6.6158400000000004</v>
      </c>
      <c r="N32" s="98">
        <f t="shared" si="4"/>
        <v>396.9504</v>
      </c>
      <c r="O32" s="75"/>
      <c r="P32" s="91">
        <v>196.9</v>
      </c>
      <c r="Q32" s="17">
        <v>135</v>
      </c>
      <c r="R32" s="9" t="s">
        <v>56</v>
      </c>
      <c r="S32" s="10">
        <v>100</v>
      </c>
      <c r="T32" s="92">
        <f>P32*$S$1</f>
        <v>275.65999999999997</v>
      </c>
    </row>
    <row r="33" spans="1:20" ht="20.100000000000001" customHeight="1" x14ac:dyDescent="0.25">
      <c r="A33" s="13" t="s">
        <v>57</v>
      </c>
      <c r="B33" s="13" t="s">
        <v>58</v>
      </c>
      <c r="C33" s="13"/>
      <c r="D33" s="128">
        <f>T33*$S$2</f>
        <v>617.84799999999996</v>
      </c>
      <c r="E33" s="129">
        <f t="shared" si="0"/>
        <v>2</v>
      </c>
      <c r="F33" s="20"/>
      <c r="G33" s="126">
        <f t="shared" si="2"/>
        <v>494.27839999999998</v>
      </c>
      <c r="H33" s="131">
        <f t="shared" si="1"/>
        <v>1.6</v>
      </c>
      <c r="I33" s="20"/>
      <c r="J33" s="132">
        <f>(D33/S33)*1.5</f>
        <v>9.2677199999999988</v>
      </c>
      <c r="K33" s="19"/>
      <c r="L33" s="134">
        <f t="shared" si="3"/>
        <v>7.4141759999999994</v>
      </c>
      <c r="N33" s="98">
        <f t="shared" si="4"/>
        <v>444.85055999999997</v>
      </c>
      <c r="O33" s="75"/>
      <c r="P33" s="91">
        <v>220.66</v>
      </c>
      <c r="Q33" s="17">
        <v>131</v>
      </c>
      <c r="R33" s="9" t="s">
        <v>56</v>
      </c>
      <c r="S33" s="10">
        <v>100</v>
      </c>
      <c r="T33" s="92">
        <f>P33*$S$1</f>
        <v>308.92399999999998</v>
      </c>
    </row>
    <row r="34" spans="1:20" ht="20.100000000000001" customHeight="1" x14ac:dyDescent="0.25">
      <c r="A34" s="13" t="s">
        <v>59</v>
      </c>
      <c r="B34" s="13" t="s">
        <v>60</v>
      </c>
      <c r="C34" s="13"/>
      <c r="D34" s="128">
        <f>T34*$S$2</f>
        <v>664.94399999999996</v>
      </c>
      <c r="E34" s="129">
        <f t="shared" si="0"/>
        <v>2</v>
      </c>
      <c r="F34" s="20"/>
      <c r="G34" s="126">
        <f t="shared" si="2"/>
        <v>531.95519999999999</v>
      </c>
      <c r="H34" s="131">
        <f t="shared" si="1"/>
        <v>1.6</v>
      </c>
      <c r="I34" s="20"/>
      <c r="J34" s="132">
        <f>(D34/S34)*1.5</f>
        <v>9.9741599999999995</v>
      </c>
      <c r="K34" s="19"/>
      <c r="L34" s="134">
        <f t="shared" si="3"/>
        <v>7.9793279999999998</v>
      </c>
      <c r="N34" s="98">
        <f t="shared" si="4"/>
        <v>478.75968</v>
      </c>
      <c r="O34" s="76"/>
      <c r="P34" s="91">
        <v>237.48</v>
      </c>
      <c r="Q34" s="17">
        <v>130</v>
      </c>
      <c r="R34" s="9" t="s">
        <v>232</v>
      </c>
      <c r="S34" s="10">
        <v>100</v>
      </c>
      <c r="T34" s="92">
        <f>P34*$S$1</f>
        <v>332.47199999999998</v>
      </c>
    </row>
    <row r="35" spans="1:20" ht="20.100000000000001" customHeight="1" x14ac:dyDescent="0.25">
      <c r="A35" s="13" t="s">
        <v>61</v>
      </c>
      <c r="B35" s="13" t="s">
        <v>62</v>
      </c>
      <c r="C35" s="13"/>
      <c r="D35" s="128">
        <f>T35*$S$2</f>
        <v>745.78</v>
      </c>
      <c r="E35" s="129">
        <f t="shared" si="0"/>
        <v>2</v>
      </c>
      <c r="F35" s="20"/>
      <c r="G35" s="126">
        <f t="shared" si="2"/>
        <v>596.62400000000002</v>
      </c>
      <c r="H35" s="131">
        <f t="shared" si="1"/>
        <v>1.6</v>
      </c>
      <c r="I35" s="20"/>
      <c r="J35" s="132">
        <f>(D35/S35)*1.5</f>
        <v>11.1867</v>
      </c>
      <c r="K35" s="19"/>
      <c r="L35" s="134">
        <f t="shared" si="3"/>
        <v>8.9493600000000004</v>
      </c>
      <c r="N35" s="98">
        <f t="shared" si="4"/>
        <v>536.96160000000009</v>
      </c>
      <c r="O35" s="76"/>
      <c r="P35" s="91">
        <v>266.35000000000002</v>
      </c>
      <c r="Q35" s="17">
        <v>126</v>
      </c>
      <c r="R35" s="64" t="s">
        <v>232</v>
      </c>
      <c r="S35" s="17">
        <v>100</v>
      </c>
      <c r="T35" s="92">
        <f>P35*$S$1</f>
        <v>372.89</v>
      </c>
    </row>
    <row r="36" spans="1:20" ht="20.100000000000001" customHeight="1" x14ac:dyDescent="0.25">
      <c r="A36" s="13" t="s">
        <v>63</v>
      </c>
      <c r="B36" s="13" t="s">
        <v>64</v>
      </c>
      <c r="C36" s="13"/>
      <c r="D36" s="128">
        <f>T36*$S$2</f>
        <v>744.68799999999987</v>
      </c>
      <c r="E36" s="129">
        <f t="shared" si="0"/>
        <v>2</v>
      </c>
      <c r="F36" s="20"/>
      <c r="G36" s="126">
        <f t="shared" si="2"/>
        <v>595.7503999999999</v>
      </c>
      <c r="H36" s="131">
        <f t="shared" si="1"/>
        <v>1.6</v>
      </c>
      <c r="I36" s="20"/>
      <c r="J36" s="132">
        <f>(D36/S36)*1.5</f>
        <v>11.170319999999997</v>
      </c>
      <c r="K36" s="19"/>
      <c r="L36" s="134">
        <f t="shared" si="3"/>
        <v>8.9362559999999984</v>
      </c>
      <c r="N36" s="98">
        <f t="shared" si="4"/>
        <v>536.17535999999996</v>
      </c>
      <c r="O36" s="76"/>
      <c r="P36" s="91">
        <v>265.95999999999998</v>
      </c>
      <c r="Q36" s="17">
        <v>135</v>
      </c>
      <c r="R36" s="64" t="s">
        <v>56</v>
      </c>
      <c r="S36" s="17">
        <v>100</v>
      </c>
      <c r="T36" s="92">
        <f>P36*$S$1</f>
        <v>372.34399999999994</v>
      </c>
    </row>
    <row r="37" spans="1:20" ht="20.100000000000001" customHeight="1" x14ac:dyDescent="0.25">
      <c r="A37" s="21"/>
      <c r="B37" s="21"/>
      <c r="C37" s="21"/>
      <c r="D37" s="127"/>
      <c r="E37" s="130" t="e">
        <f t="shared" si="0"/>
        <v>#DIV/0!</v>
      </c>
      <c r="F37" s="72"/>
      <c r="G37" s="126">
        <f t="shared" si="2"/>
        <v>0</v>
      </c>
      <c r="H37" s="130" t="e">
        <f t="shared" si="1"/>
        <v>#DIV/0!</v>
      </c>
      <c r="I37" s="72"/>
      <c r="J37" s="133"/>
      <c r="K37" s="23"/>
      <c r="L37" s="134">
        <f t="shared" si="3"/>
        <v>0</v>
      </c>
      <c r="M37" s="100"/>
      <c r="N37" s="98">
        <f t="shared" si="4"/>
        <v>0</v>
      </c>
      <c r="O37" s="101"/>
      <c r="P37" s="93"/>
      <c r="Q37" s="22"/>
      <c r="R37" s="22"/>
      <c r="S37" s="22"/>
      <c r="T37" s="95"/>
    </row>
    <row r="38" spans="1:20" ht="20.100000000000001" customHeight="1" x14ac:dyDescent="0.25">
      <c r="A38" s="13" t="s">
        <v>65</v>
      </c>
      <c r="B38" s="13" t="s">
        <v>66</v>
      </c>
      <c r="C38" s="13"/>
      <c r="D38" s="128">
        <f>T38*$S$2</f>
        <v>420.61599999999999</v>
      </c>
      <c r="E38" s="129">
        <f t="shared" si="0"/>
        <v>2</v>
      </c>
      <c r="F38" s="20"/>
      <c r="G38" s="126">
        <f t="shared" si="2"/>
        <v>336.49279999999999</v>
      </c>
      <c r="H38" s="131">
        <f t="shared" si="1"/>
        <v>1.6</v>
      </c>
      <c r="I38" s="20"/>
      <c r="J38" s="132">
        <f>(D38/S38)*1.5</f>
        <v>10.5154</v>
      </c>
      <c r="K38" s="19"/>
      <c r="L38" s="134">
        <f t="shared" si="3"/>
        <v>8.4123199999999994</v>
      </c>
      <c r="N38" s="98">
        <f t="shared" si="4"/>
        <v>302.84352000000001</v>
      </c>
      <c r="O38" s="76"/>
      <c r="P38" s="91">
        <v>150.22</v>
      </c>
      <c r="Q38" s="17">
        <v>91</v>
      </c>
      <c r="R38" s="9" t="s">
        <v>13</v>
      </c>
      <c r="S38" s="10">
        <v>60</v>
      </c>
      <c r="T38" s="92">
        <f>P38*$S$1</f>
        <v>210.30799999999999</v>
      </c>
    </row>
    <row r="39" spans="1:20" ht="20.100000000000001" customHeight="1" x14ac:dyDescent="0.25">
      <c r="A39" s="13" t="s">
        <v>260</v>
      </c>
      <c r="B39" s="13" t="s">
        <v>259</v>
      </c>
      <c r="C39" s="13"/>
      <c r="D39" s="128">
        <f>T39*$S$2</f>
        <v>725.9559999999999</v>
      </c>
      <c r="E39" s="129">
        <f t="shared" si="0"/>
        <v>2</v>
      </c>
      <c r="F39" s="20"/>
      <c r="G39" s="126">
        <f t="shared" si="2"/>
        <v>580.76479999999992</v>
      </c>
      <c r="H39" s="131">
        <f t="shared" si="1"/>
        <v>1.6</v>
      </c>
      <c r="I39" s="20"/>
      <c r="J39" s="132"/>
      <c r="K39" s="19"/>
      <c r="L39" s="134">
        <f t="shared" si="3"/>
        <v>0</v>
      </c>
      <c r="N39" s="98">
        <f t="shared" si="4"/>
        <v>522.68831999999998</v>
      </c>
      <c r="O39" s="76"/>
      <c r="P39" s="91">
        <v>259.27</v>
      </c>
      <c r="Q39" s="17">
        <v>120</v>
      </c>
      <c r="R39" s="9" t="s">
        <v>24</v>
      </c>
      <c r="S39" s="10">
        <v>60</v>
      </c>
      <c r="T39" s="92">
        <f>P39*$S$1</f>
        <v>362.97799999999995</v>
      </c>
    </row>
    <row r="40" spans="1:20" ht="20.100000000000001" customHeight="1" x14ac:dyDescent="0.25">
      <c r="A40" s="13" t="s">
        <v>67</v>
      </c>
      <c r="B40" s="13" t="s">
        <v>68</v>
      </c>
      <c r="C40" s="13"/>
      <c r="D40" s="128">
        <f>T40*$S$2</f>
        <v>546.05600000000004</v>
      </c>
      <c r="E40" s="129">
        <f t="shared" si="0"/>
        <v>2</v>
      </c>
      <c r="F40" s="20"/>
      <c r="G40" s="126">
        <f t="shared" si="2"/>
        <v>436.84480000000008</v>
      </c>
      <c r="H40" s="131">
        <f t="shared" si="1"/>
        <v>1.6</v>
      </c>
      <c r="I40" s="20"/>
      <c r="J40" s="132">
        <f>(D40/S40)*1.5</f>
        <v>13.651400000000001</v>
      </c>
      <c r="K40" s="19"/>
      <c r="L40" s="134">
        <f t="shared" si="3"/>
        <v>10.921120000000002</v>
      </c>
      <c r="N40" s="98">
        <f t="shared" si="4"/>
        <v>393.16032000000007</v>
      </c>
      <c r="O40" s="76"/>
      <c r="P40" s="91">
        <v>195.02</v>
      </c>
      <c r="Q40" s="17">
        <v>122</v>
      </c>
      <c r="R40" s="9" t="s">
        <v>24</v>
      </c>
      <c r="S40" s="10">
        <v>60</v>
      </c>
      <c r="T40" s="92">
        <f>P40*$S$1</f>
        <v>273.02800000000002</v>
      </c>
    </row>
    <row r="41" spans="1:20" ht="20.100000000000001" customHeight="1" x14ac:dyDescent="0.25">
      <c r="A41" s="13" t="s">
        <v>69</v>
      </c>
      <c r="B41" s="13" t="s">
        <v>70</v>
      </c>
      <c r="C41" s="13"/>
      <c r="D41" s="128">
        <f>T41*$S$2</f>
        <v>818.41200000000003</v>
      </c>
      <c r="E41" s="129">
        <f t="shared" si="0"/>
        <v>2</v>
      </c>
      <c r="F41" s="20"/>
      <c r="G41" s="126">
        <f t="shared" si="2"/>
        <v>654.72960000000012</v>
      </c>
      <c r="H41" s="131">
        <f t="shared" si="1"/>
        <v>1.6000000000000003</v>
      </c>
      <c r="I41" s="20"/>
      <c r="J41" s="132">
        <f>(D41/S41)*1.5</f>
        <v>20.4603</v>
      </c>
      <c r="K41" s="19"/>
      <c r="L41" s="134">
        <f t="shared" si="3"/>
        <v>16.36824</v>
      </c>
      <c r="N41" s="98">
        <f t="shared" si="4"/>
        <v>589.25664000000017</v>
      </c>
      <c r="O41" s="76"/>
      <c r="P41" s="91">
        <v>292.29000000000002</v>
      </c>
      <c r="Q41" s="17">
        <v>183</v>
      </c>
      <c r="R41" s="9" t="s">
        <v>43</v>
      </c>
      <c r="S41" s="10">
        <v>60</v>
      </c>
      <c r="T41" s="92">
        <f>P41*$S$1</f>
        <v>409.20600000000002</v>
      </c>
    </row>
    <row r="42" spans="1:20" ht="20.100000000000001" customHeight="1" x14ac:dyDescent="0.25">
      <c r="A42" s="13" t="s">
        <v>71</v>
      </c>
      <c r="B42" s="13" t="s">
        <v>72</v>
      </c>
      <c r="C42" s="13"/>
      <c r="D42" s="128">
        <f>T42*$S$2</f>
        <v>1043.672</v>
      </c>
      <c r="E42" s="129">
        <f t="shared" si="0"/>
        <v>2</v>
      </c>
      <c r="F42" s="20"/>
      <c r="G42" s="126">
        <f t="shared" si="2"/>
        <v>834.93760000000009</v>
      </c>
      <c r="H42" s="131">
        <f t="shared" si="1"/>
        <v>1.6</v>
      </c>
      <c r="I42" s="20"/>
      <c r="J42" s="132">
        <f>(D42/S42)*1.5</f>
        <v>26.091800000000003</v>
      </c>
      <c r="K42" s="19"/>
      <c r="L42" s="134">
        <f t="shared" si="3"/>
        <v>20.873440000000002</v>
      </c>
      <c r="N42" s="98">
        <f t="shared" si="4"/>
        <v>751.44384000000014</v>
      </c>
      <c r="O42" s="76"/>
      <c r="P42" s="91">
        <v>372.74</v>
      </c>
      <c r="Q42" s="17">
        <v>244</v>
      </c>
      <c r="R42" s="9" t="s">
        <v>56</v>
      </c>
      <c r="S42" s="10">
        <v>60</v>
      </c>
      <c r="T42" s="92">
        <f>P42*$S$1</f>
        <v>521.83600000000001</v>
      </c>
    </row>
    <row r="43" spans="1:20" ht="20.100000000000001" customHeight="1" x14ac:dyDescent="0.25">
      <c r="A43" s="21"/>
      <c r="B43" s="21"/>
      <c r="C43" s="21"/>
      <c r="D43" s="127"/>
      <c r="E43" s="130" t="e">
        <f t="shared" si="0"/>
        <v>#DIV/0!</v>
      </c>
      <c r="F43" s="72"/>
      <c r="G43" s="126">
        <f t="shared" si="2"/>
        <v>0</v>
      </c>
      <c r="H43" s="130" t="e">
        <f t="shared" si="1"/>
        <v>#DIV/0!</v>
      </c>
      <c r="I43" s="72"/>
      <c r="J43" s="133"/>
      <c r="K43" s="23"/>
      <c r="L43" s="134">
        <f t="shared" si="3"/>
        <v>0</v>
      </c>
      <c r="M43" s="100"/>
      <c r="N43" s="98">
        <f t="shared" si="4"/>
        <v>0</v>
      </c>
      <c r="O43" s="101"/>
      <c r="P43" s="93">
        <v>271.89999999999998</v>
      </c>
      <c r="Q43" s="22"/>
      <c r="R43" s="24"/>
      <c r="S43" s="25"/>
      <c r="T43" s="95"/>
    </row>
    <row r="44" spans="1:20" ht="20.100000000000001" customHeight="1" x14ac:dyDescent="0.25">
      <c r="A44" s="11" t="s">
        <v>73</v>
      </c>
      <c r="B44" s="11" t="s">
        <v>74</v>
      </c>
      <c r="C44" s="11"/>
      <c r="D44" s="128">
        <f>T44*$S$2</f>
        <v>620.05999999999995</v>
      </c>
      <c r="E44" s="129">
        <f t="shared" si="0"/>
        <v>2</v>
      </c>
      <c r="F44" s="20"/>
      <c r="G44" s="126">
        <f t="shared" si="2"/>
        <v>496.048</v>
      </c>
      <c r="H44" s="131">
        <f t="shared" si="1"/>
        <v>1.6</v>
      </c>
      <c r="I44" s="20"/>
      <c r="J44" s="132">
        <f>(D44/S44)*1.5</f>
        <v>4.4290000000000003</v>
      </c>
      <c r="K44" s="19"/>
      <c r="L44" s="134">
        <f t="shared" si="3"/>
        <v>3.5432000000000006</v>
      </c>
      <c r="N44" s="98">
        <f t="shared" si="4"/>
        <v>446.44319999999999</v>
      </c>
      <c r="O44" s="76"/>
      <c r="P44" s="96">
        <v>221.45</v>
      </c>
      <c r="Q44" s="18">
        <v>100</v>
      </c>
      <c r="R44" s="64" t="s">
        <v>77</v>
      </c>
      <c r="S44" s="17">
        <v>210</v>
      </c>
      <c r="T44" s="92">
        <f>P44*$S$1</f>
        <v>310.02999999999997</v>
      </c>
    </row>
    <row r="45" spans="1:20" ht="20.100000000000001" customHeight="1" x14ac:dyDescent="0.25">
      <c r="A45" s="11" t="s">
        <v>75</v>
      </c>
      <c r="B45" s="11" t="s">
        <v>76</v>
      </c>
      <c r="C45" s="11"/>
      <c r="D45" s="128">
        <f>T45*$S$2</f>
        <v>632.09999999999991</v>
      </c>
      <c r="E45" s="129">
        <f t="shared" si="0"/>
        <v>2</v>
      </c>
      <c r="F45" s="20"/>
      <c r="G45" s="126">
        <f t="shared" si="2"/>
        <v>505.67999999999995</v>
      </c>
      <c r="H45" s="131">
        <f t="shared" si="1"/>
        <v>1.6</v>
      </c>
      <c r="I45" s="20"/>
      <c r="J45" s="132">
        <f>(D45/S45)*1.5</f>
        <v>5.2674999999999992</v>
      </c>
      <c r="K45" s="19"/>
      <c r="L45" s="134">
        <f t="shared" si="3"/>
        <v>4.2139999999999995</v>
      </c>
      <c r="N45" s="98">
        <f>G45*0.9</f>
        <v>455.11199999999997</v>
      </c>
      <c r="O45" s="75"/>
      <c r="P45" s="96">
        <v>225.75</v>
      </c>
      <c r="Q45" s="18">
        <v>100</v>
      </c>
      <c r="R45" s="9" t="s">
        <v>77</v>
      </c>
      <c r="S45" s="10">
        <v>180</v>
      </c>
      <c r="T45" s="92">
        <f>P45*$S$1</f>
        <v>316.04999999999995</v>
      </c>
    </row>
    <row r="46" spans="1:20" ht="20.100000000000001" customHeight="1" x14ac:dyDescent="0.25">
      <c r="A46" s="11" t="s">
        <v>78</v>
      </c>
      <c r="B46" s="11" t="s">
        <v>79</v>
      </c>
      <c r="C46" s="11"/>
      <c r="D46" s="128">
        <f>T46*$S$2</f>
        <v>1258.2919999999999</v>
      </c>
      <c r="E46" s="129">
        <f t="shared" si="0"/>
        <v>2</v>
      </c>
      <c r="F46" s="20"/>
      <c r="G46" s="126">
        <f t="shared" si="2"/>
        <v>1006.6336</v>
      </c>
      <c r="H46" s="131">
        <f t="shared" si="1"/>
        <v>1.6</v>
      </c>
      <c r="I46" s="20"/>
      <c r="J46" s="132">
        <f>(D46/S46)*1.5</f>
        <v>20.97153333333333</v>
      </c>
      <c r="K46" s="19"/>
      <c r="L46" s="134">
        <f t="shared" si="3"/>
        <v>16.777226666666664</v>
      </c>
      <c r="N46" s="98">
        <f t="shared" ref="N46:N51" si="11">G46*0.9</f>
        <v>905.97023999999999</v>
      </c>
      <c r="O46" s="76"/>
      <c r="P46" s="96">
        <v>449.39</v>
      </c>
      <c r="Q46" s="18">
        <v>100</v>
      </c>
      <c r="R46" s="64" t="s">
        <v>233</v>
      </c>
      <c r="S46" s="17">
        <v>90</v>
      </c>
      <c r="T46" s="92">
        <f>P46*$S$1</f>
        <v>629.14599999999996</v>
      </c>
    </row>
    <row r="47" spans="1:20" ht="20.100000000000001" customHeight="1" x14ac:dyDescent="0.25">
      <c r="A47" s="21"/>
      <c r="B47" s="21"/>
      <c r="C47" s="21"/>
      <c r="D47" s="127"/>
      <c r="E47" s="130" t="e">
        <f t="shared" si="0"/>
        <v>#DIV/0!</v>
      </c>
      <c r="F47" s="72"/>
      <c r="G47" s="126">
        <f t="shared" si="2"/>
        <v>0</v>
      </c>
      <c r="H47" s="130" t="e">
        <f t="shared" si="1"/>
        <v>#DIV/0!</v>
      </c>
      <c r="I47" s="72"/>
      <c r="J47" s="133"/>
      <c r="K47" s="23"/>
      <c r="L47" s="134">
        <f t="shared" si="3"/>
        <v>0</v>
      </c>
      <c r="M47" s="100"/>
      <c r="N47" s="98">
        <f t="shared" si="11"/>
        <v>0</v>
      </c>
      <c r="O47" s="101"/>
      <c r="P47" s="93">
        <v>225.75</v>
      </c>
      <c r="Q47" s="22"/>
      <c r="R47" s="24"/>
      <c r="S47" s="25"/>
      <c r="T47" s="95"/>
    </row>
    <row r="48" spans="1:20" ht="20.100000000000001" customHeight="1" x14ac:dyDescent="0.25">
      <c r="A48" s="11" t="s">
        <v>80</v>
      </c>
      <c r="B48" s="11" t="s">
        <v>81</v>
      </c>
      <c r="C48" s="11"/>
      <c r="D48" s="128">
        <f>T48*$S$2</f>
        <v>1059.52</v>
      </c>
      <c r="E48" s="129">
        <f t="shared" si="0"/>
        <v>2</v>
      </c>
      <c r="F48" s="20"/>
      <c r="G48" s="126">
        <f t="shared" si="2"/>
        <v>847.61599999999999</v>
      </c>
      <c r="H48" s="131">
        <f t="shared" si="1"/>
        <v>1.6</v>
      </c>
      <c r="I48" s="20"/>
      <c r="J48" s="132">
        <f>(D48/S48)*1.5</f>
        <v>5.2976000000000001</v>
      </c>
      <c r="K48" s="19"/>
      <c r="L48" s="134">
        <f t="shared" si="3"/>
        <v>4.2380800000000001</v>
      </c>
      <c r="N48" s="98">
        <f t="shared" si="11"/>
        <v>762.85440000000006</v>
      </c>
      <c r="O48" s="76"/>
      <c r="P48" s="96">
        <v>378.4</v>
      </c>
      <c r="Q48" s="18">
        <v>150</v>
      </c>
      <c r="R48" s="9" t="s">
        <v>82</v>
      </c>
      <c r="S48" s="10">
        <v>300</v>
      </c>
      <c r="T48" s="92">
        <f>P48*$S$1</f>
        <v>529.76</v>
      </c>
    </row>
    <row r="49" spans="1:20" ht="20.100000000000001" customHeight="1" x14ac:dyDescent="0.25">
      <c r="A49" s="11" t="s">
        <v>83</v>
      </c>
      <c r="B49" s="11" t="s">
        <v>84</v>
      </c>
      <c r="C49" s="11"/>
      <c r="D49" s="128">
        <f>T49*$S$2</f>
        <v>1059.52</v>
      </c>
      <c r="E49" s="129">
        <f t="shared" si="0"/>
        <v>2</v>
      </c>
      <c r="F49" s="20"/>
      <c r="G49" s="126">
        <f t="shared" si="2"/>
        <v>847.61599999999999</v>
      </c>
      <c r="H49" s="131">
        <f t="shared" si="1"/>
        <v>1.6</v>
      </c>
      <c r="I49" s="20"/>
      <c r="J49" s="132">
        <f>(D49/S49)*1.5</f>
        <v>5.2976000000000001</v>
      </c>
      <c r="K49" s="19"/>
      <c r="L49" s="134">
        <f t="shared" si="3"/>
        <v>4.2380800000000001</v>
      </c>
      <c r="N49" s="98">
        <f t="shared" si="11"/>
        <v>762.85440000000006</v>
      </c>
      <c r="O49" s="76"/>
      <c r="P49" s="96">
        <v>378.4</v>
      </c>
      <c r="Q49" s="18">
        <v>150</v>
      </c>
      <c r="R49" s="9" t="s">
        <v>82</v>
      </c>
      <c r="S49" s="10">
        <v>300</v>
      </c>
      <c r="T49" s="92">
        <f>P49*$S$1</f>
        <v>529.76</v>
      </c>
    </row>
    <row r="50" spans="1:20" ht="20.100000000000001" customHeight="1" x14ac:dyDescent="0.25">
      <c r="A50" s="11" t="s">
        <v>85</v>
      </c>
      <c r="B50" s="11" t="s">
        <v>86</v>
      </c>
      <c r="C50" s="11"/>
      <c r="D50" s="128">
        <f>T50*$S$2</f>
        <v>1059.52</v>
      </c>
      <c r="E50" s="129">
        <f t="shared" si="0"/>
        <v>2</v>
      </c>
      <c r="F50" s="66"/>
      <c r="G50" s="126">
        <f t="shared" si="2"/>
        <v>847.61599999999999</v>
      </c>
      <c r="H50" s="131">
        <f t="shared" si="1"/>
        <v>1.6</v>
      </c>
      <c r="I50" s="66"/>
      <c r="J50" s="132">
        <f>(D50/S50)*1.5</f>
        <v>5.2976000000000001</v>
      </c>
      <c r="K50" s="19"/>
      <c r="L50" s="134">
        <f t="shared" si="3"/>
        <v>4.2380800000000001</v>
      </c>
      <c r="N50" s="98">
        <f t="shared" si="11"/>
        <v>762.85440000000006</v>
      </c>
      <c r="O50" s="76"/>
      <c r="P50" s="96">
        <v>378.4</v>
      </c>
      <c r="Q50" s="18">
        <v>150</v>
      </c>
      <c r="R50" s="9" t="s">
        <v>82</v>
      </c>
      <c r="S50" s="10">
        <v>300</v>
      </c>
      <c r="T50" s="92">
        <f>P50*$S$1</f>
        <v>529.76</v>
      </c>
    </row>
    <row r="51" spans="1:20" ht="17.25" customHeight="1" x14ac:dyDescent="0.25">
      <c r="A51" s="11"/>
      <c r="B51" s="11" t="s">
        <v>311</v>
      </c>
      <c r="C51" s="11"/>
      <c r="D51" s="128">
        <f>T51*$S$2</f>
        <v>1059.52</v>
      </c>
      <c r="E51" s="129">
        <f>D51/T51</f>
        <v>2</v>
      </c>
      <c r="F51" s="66"/>
      <c r="G51" s="126">
        <f t="shared" si="2"/>
        <v>847.61599999999999</v>
      </c>
      <c r="H51" s="131">
        <f>G51/T51</f>
        <v>1.6</v>
      </c>
      <c r="I51" s="66"/>
      <c r="J51" s="132">
        <f>(D51/S51)*1.5</f>
        <v>5.2976000000000001</v>
      </c>
      <c r="K51" s="19"/>
      <c r="L51" s="134">
        <f>J51*0.8</f>
        <v>4.2380800000000001</v>
      </c>
      <c r="N51" s="98">
        <f t="shared" si="11"/>
        <v>762.85440000000006</v>
      </c>
      <c r="O51" s="76"/>
      <c r="P51" s="96">
        <v>378.4</v>
      </c>
      <c r="Q51" s="18">
        <v>150</v>
      </c>
      <c r="R51" s="9" t="s">
        <v>82</v>
      </c>
      <c r="S51" s="10">
        <v>300</v>
      </c>
      <c r="T51" s="92">
        <f>P51*$S$1</f>
        <v>529.76</v>
      </c>
    </row>
    <row r="52" spans="1:20" x14ac:dyDescent="0.25">
      <c r="A52" s="12" t="s">
        <v>87</v>
      </c>
      <c r="B52" s="12"/>
      <c r="C52" s="12"/>
    </row>
    <row r="53" spans="1:20" x14ac:dyDescent="0.25">
      <c r="A53" s="12" t="s">
        <v>88</v>
      </c>
      <c r="B53" s="12"/>
      <c r="C53" s="12"/>
    </row>
    <row r="54" spans="1:20" x14ac:dyDescent="0.25">
      <c r="A54" s="1" t="s">
        <v>89</v>
      </c>
    </row>
    <row r="55" spans="1:20" x14ac:dyDescent="0.25">
      <c r="A55" s="1" t="s">
        <v>90</v>
      </c>
    </row>
  </sheetData>
  <protectedRanges>
    <protectedRange sqref="S1:S2" name="Range3"/>
    <protectedRange sqref="S1:S2" name="Range1"/>
    <protectedRange sqref="S1:S2" name="Range2"/>
  </protectedRanges>
  <phoneticPr fontId="1" type="noConversion"/>
  <pageMargins left="0.19685039370078741" right="0.19685039370078741" top="0.74803149606299213" bottom="0.74803149606299213" header="0.31496062992125984" footer="0.31496062992125984"/>
  <pageSetup scale="50" orientation="landscape" r:id="rId1"/>
  <headerFooter alignWithMargins="0">
    <oddFooter>&amp;L&amp;Z&amp;F&amp;R&amp;D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BP126"/>
  <sheetViews>
    <sheetView tabSelected="1" zoomScaleNormal="100" zoomScalePageLayoutView="40" workbookViewId="0">
      <selection activeCell="E37" sqref="E37"/>
    </sheetView>
  </sheetViews>
  <sheetFormatPr defaultColWidth="8" defaultRowHeight="12.75" x14ac:dyDescent="0.2"/>
  <cols>
    <col min="1" max="1" width="3.125" style="199" customWidth="1"/>
    <col min="2" max="2" width="36.875" style="199" bestFit="1" customWidth="1"/>
    <col min="3" max="3" width="22.875" style="200" bestFit="1" customWidth="1"/>
    <col min="4" max="4" width="14.75" style="199" bestFit="1" customWidth="1"/>
    <col min="5" max="5" width="20" style="199" customWidth="1"/>
    <col min="6" max="6" width="10.375" style="199" bestFit="1" customWidth="1"/>
    <col min="7" max="7" width="7.75" style="199" customWidth="1"/>
    <col min="8" max="8" width="7.125" style="199" customWidth="1"/>
    <col min="9" max="9" width="22.125" style="199" bestFit="1" customWidth="1"/>
    <col min="10" max="10" width="19.625" style="199" bestFit="1" customWidth="1"/>
    <col min="11" max="11" width="6.25" style="201" customWidth="1"/>
    <col min="12" max="12" width="22.375" style="199" customWidth="1"/>
    <col min="13" max="13" width="3.75" style="201" customWidth="1"/>
    <col min="14" max="14" width="13" style="199" bestFit="1" customWidth="1"/>
    <col min="15" max="15" width="3.75" style="201" customWidth="1"/>
    <col min="16" max="16" width="13" style="199" bestFit="1" customWidth="1"/>
    <col min="17" max="17" width="7.625" style="199" bestFit="1" customWidth="1"/>
    <col min="18" max="18" width="38.125" style="199" bestFit="1" customWidth="1"/>
    <col min="19" max="19" width="17.625" style="199" bestFit="1" customWidth="1"/>
    <col min="20" max="20" width="10.5" style="199" bestFit="1" customWidth="1"/>
    <col min="21" max="21" width="7" style="199" bestFit="1" customWidth="1"/>
    <col min="22" max="22" width="2.625" style="199" bestFit="1" customWidth="1"/>
    <col min="23" max="23" width="26.375" style="199" bestFit="1" customWidth="1"/>
    <col min="24" max="24" width="38" style="199" bestFit="1" customWidth="1"/>
    <col min="25" max="25" width="15.75" style="199" customWidth="1"/>
    <col min="26" max="26" width="15.625" style="201" customWidth="1"/>
    <col min="27" max="27" width="2.5" style="201" customWidth="1"/>
    <col min="28" max="32" width="15.625" style="201" customWidth="1"/>
    <col min="33" max="33" width="9.75" style="201" bestFit="1" customWidth="1"/>
    <col min="34" max="34" width="10.5" style="201" bestFit="1" customWidth="1"/>
    <col min="35" max="35" width="3.625" style="201" bestFit="1" customWidth="1"/>
    <col min="36" max="36" width="8.125" style="201" bestFit="1" customWidth="1"/>
    <col min="37" max="37" width="13.625" style="201" customWidth="1"/>
    <col min="38" max="38" width="8.125" style="201" bestFit="1" customWidth="1"/>
    <col min="39" max="39" width="10.5" style="201" bestFit="1" customWidth="1"/>
    <col min="40" max="40" width="8.125" style="201" bestFit="1" customWidth="1"/>
    <col min="41" max="41" width="9.75" style="201" customWidth="1"/>
    <col min="42" max="43" width="8" style="201" customWidth="1"/>
    <col min="44" max="45" width="8.125" style="201" bestFit="1" customWidth="1"/>
    <col min="46" max="48" width="8" style="201" customWidth="1"/>
    <col min="49" max="49" width="8.125" style="201" bestFit="1" customWidth="1"/>
    <col min="50" max="51" width="8" style="199"/>
    <col min="52" max="53" width="10.25" style="199" bestFit="1" customWidth="1"/>
    <col min="54" max="55" width="16" style="199" bestFit="1" customWidth="1"/>
    <col min="56" max="58" width="16.875" style="199" bestFit="1" customWidth="1"/>
    <col min="59" max="61" width="10.25" style="199" bestFit="1" customWidth="1"/>
    <col min="62" max="62" width="8" style="199"/>
    <col min="63" max="63" width="18.125" style="199" bestFit="1" customWidth="1"/>
    <col min="64" max="16384" width="8" style="199"/>
  </cols>
  <sheetData>
    <row r="1" spans="2:68" ht="13.5" thickBot="1" x14ac:dyDescent="0.25"/>
    <row r="2" spans="2:68" ht="18.75" x14ac:dyDescent="0.3">
      <c r="B2" s="202" t="s">
        <v>101</v>
      </c>
      <c r="C2" s="203"/>
      <c r="D2" s="204"/>
      <c r="E2" s="204"/>
      <c r="F2" s="205"/>
      <c r="G2" s="206"/>
      <c r="H2" s="207"/>
      <c r="I2" s="208"/>
      <c r="J2" s="209" t="s">
        <v>1</v>
      </c>
      <c r="K2" s="210">
        <f>'Full Roll'!S1</f>
        <v>1.4</v>
      </c>
      <c r="L2" s="209"/>
      <c r="M2" s="210"/>
      <c r="N2" s="211"/>
      <c r="O2" s="210"/>
      <c r="P2" s="211"/>
      <c r="Q2" s="212"/>
      <c r="R2" s="212"/>
      <c r="S2" s="212"/>
      <c r="T2" s="212"/>
      <c r="U2" s="212"/>
      <c r="V2" s="212"/>
      <c r="W2" s="212"/>
      <c r="X2" s="212"/>
      <c r="Y2" s="212"/>
    </row>
    <row r="3" spans="2:68" ht="18.75" x14ac:dyDescent="0.3">
      <c r="B3" s="213" t="s">
        <v>102</v>
      </c>
      <c r="C3" s="214"/>
      <c r="D3" s="215"/>
      <c r="E3" s="215"/>
      <c r="F3" s="216"/>
      <c r="G3" s="217"/>
      <c r="H3" s="218"/>
      <c r="I3" s="219"/>
      <c r="J3" s="220"/>
      <c r="K3" s="221"/>
      <c r="L3" s="222"/>
      <c r="M3" s="221"/>
      <c r="N3" s="211"/>
      <c r="O3" s="220"/>
      <c r="P3" s="211"/>
      <c r="Q3" s="215"/>
      <c r="R3" s="215"/>
      <c r="S3" s="215"/>
      <c r="T3" s="215"/>
      <c r="U3" s="215"/>
      <c r="V3" s="215"/>
      <c r="W3" s="215"/>
      <c r="X3" s="215"/>
      <c r="Y3" s="215"/>
      <c r="Z3" s="223"/>
      <c r="AA3" s="223"/>
      <c r="AB3" s="223"/>
      <c r="AC3" s="223"/>
      <c r="AD3" s="223"/>
      <c r="AE3" s="223"/>
      <c r="AF3" s="223"/>
    </row>
    <row r="4" spans="2:68" ht="22.5" customHeight="1" thickBot="1" x14ac:dyDescent="0.3">
      <c r="B4" s="412" t="s">
        <v>315</v>
      </c>
      <c r="C4" s="417"/>
      <c r="D4" s="58"/>
      <c r="E4" s="58"/>
      <c r="F4" s="225"/>
      <c r="G4" s="210"/>
      <c r="H4" s="211"/>
      <c r="I4" s="210"/>
      <c r="J4" s="226"/>
      <c r="K4" s="227"/>
      <c r="L4" s="211"/>
      <c r="M4" s="227"/>
      <c r="N4" s="211"/>
      <c r="O4" s="220"/>
      <c r="P4" s="211"/>
      <c r="Q4" s="57"/>
      <c r="R4" s="57"/>
      <c r="S4" s="57"/>
      <c r="T4" s="57"/>
      <c r="U4" s="57"/>
      <c r="AC4" s="57"/>
      <c r="AD4" s="57"/>
      <c r="AE4" s="57"/>
      <c r="AF4" s="57"/>
      <c r="AH4" s="201" t="s">
        <v>103</v>
      </c>
      <c r="AI4" s="228">
        <v>3</v>
      </c>
      <c r="AK4" s="229" t="s">
        <v>104</v>
      </c>
    </row>
    <row r="5" spans="2:68" ht="18.75" x14ac:dyDescent="0.3">
      <c r="B5" s="230" t="s">
        <v>105</v>
      </c>
      <c r="C5" s="63"/>
      <c r="D5" s="212"/>
      <c r="E5" s="231" t="e">
        <f>VLOOKUP(C5,AH4:AI6,2,TRUE)</f>
        <v>#N/A</v>
      </c>
      <c r="F5" s="232"/>
      <c r="G5" s="220"/>
      <c r="H5" s="211"/>
      <c r="I5" s="233"/>
      <c r="J5" s="210"/>
      <c r="K5" s="233"/>
      <c r="L5" s="226"/>
      <c r="M5" s="233"/>
      <c r="N5" s="234"/>
      <c r="O5" s="234"/>
      <c r="P5" s="234"/>
      <c r="Q5" s="218"/>
      <c r="R5" s="218"/>
      <c r="S5" s="218"/>
      <c r="T5" s="218"/>
      <c r="U5" s="218"/>
      <c r="AH5" s="201" t="s">
        <v>106</v>
      </c>
      <c r="AI5" s="228">
        <v>4</v>
      </c>
      <c r="AO5" s="235" t="s">
        <v>107</v>
      </c>
      <c r="AZ5" s="218"/>
      <c r="BA5" s="218"/>
      <c r="BB5" s="218"/>
      <c r="BC5" s="218"/>
      <c r="BD5" s="218"/>
      <c r="BE5" s="218"/>
      <c r="BF5" s="218"/>
      <c r="BG5" s="218"/>
      <c r="BH5" s="218"/>
      <c r="BI5" s="218"/>
      <c r="BJ5" s="218"/>
      <c r="BK5" s="218"/>
      <c r="BL5" s="218"/>
      <c r="BM5" s="218"/>
      <c r="BN5" s="218"/>
      <c r="BO5" s="218"/>
      <c r="BP5" s="218"/>
    </row>
    <row r="6" spans="2:68" ht="21" x14ac:dyDescent="0.3">
      <c r="B6" s="236" t="s">
        <v>108</v>
      </c>
      <c r="C6" s="375"/>
      <c r="D6" s="212" t="s">
        <v>292</v>
      </c>
      <c r="E6" s="378">
        <f>C6/12</f>
        <v>0</v>
      </c>
      <c r="F6" s="232" t="s">
        <v>109</v>
      </c>
      <c r="G6" s="210"/>
      <c r="H6" s="210"/>
      <c r="I6" s="210"/>
      <c r="J6" s="238" t="s">
        <v>242</v>
      </c>
      <c r="K6" s="239"/>
      <c r="L6" s="238" t="s">
        <v>241</v>
      </c>
      <c r="M6" s="210"/>
      <c r="O6" s="210"/>
      <c r="P6" s="210"/>
      <c r="Q6" s="58"/>
      <c r="R6" s="58"/>
      <c r="S6" s="58"/>
      <c r="T6" s="58"/>
      <c r="U6" s="58"/>
      <c r="AC6" s="58"/>
      <c r="AD6" s="58"/>
      <c r="AE6" s="58"/>
      <c r="AF6" s="58"/>
      <c r="AH6" s="201" t="s">
        <v>112</v>
      </c>
      <c r="AI6" s="228">
        <v>5</v>
      </c>
      <c r="AO6" s="240" t="s">
        <v>113</v>
      </c>
      <c r="AZ6" s="218"/>
      <c r="BA6" s="210"/>
      <c r="BB6" s="241"/>
      <c r="BC6" s="210"/>
      <c r="BD6" s="242"/>
      <c r="BE6" s="243"/>
      <c r="BF6" s="244"/>
      <c r="BG6" s="208"/>
      <c r="BH6" s="210"/>
      <c r="BI6" s="209"/>
      <c r="BJ6" s="210"/>
      <c r="BK6" s="209"/>
      <c r="BL6" s="210"/>
      <c r="BM6" s="211"/>
      <c r="BN6" s="210"/>
      <c r="BO6" s="211"/>
      <c r="BP6" s="218"/>
    </row>
    <row r="7" spans="2:68" ht="18.75" x14ac:dyDescent="0.3">
      <c r="B7" s="236" t="s">
        <v>114</v>
      </c>
      <c r="C7" s="63"/>
      <c r="D7" s="212" t="s">
        <v>292</v>
      </c>
      <c r="E7" s="376">
        <f>C7/12</f>
        <v>0</v>
      </c>
      <c r="F7" s="232" t="s">
        <v>109</v>
      </c>
      <c r="G7" s="245"/>
      <c r="H7" s="246"/>
      <c r="I7" s="247"/>
      <c r="J7" s="248" t="s">
        <v>238</v>
      </c>
      <c r="K7" s="249"/>
      <c r="L7" s="250" t="s">
        <v>238</v>
      </c>
      <c r="M7" s="251"/>
      <c r="O7" s="251"/>
      <c r="P7" s="251"/>
      <c r="Q7" s="58"/>
      <c r="AC7" s="58"/>
      <c r="AD7" s="58"/>
      <c r="AE7" s="58"/>
      <c r="AF7" s="58"/>
      <c r="AJ7" s="201" t="s">
        <v>118</v>
      </c>
      <c r="AK7" s="201" t="s">
        <v>119</v>
      </c>
      <c r="AL7" s="201" t="s">
        <v>120</v>
      </c>
      <c r="AM7" s="201" t="s">
        <v>121</v>
      </c>
      <c r="AN7" s="201" t="s">
        <v>122</v>
      </c>
      <c r="AO7" s="240" t="s">
        <v>123</v>
      </c>
      <c r="AZ7" s="218"/>
      <c r="BA7" s="418"/>
      <c r="BB7" s="418"/>
      <c r="BC7" s="418"/>
      <c r="BD7" s="418"/>
      <c r="BE7" s="418"/>
      <c r="BF7" s="252"/>
      <c r="BG7" s="219"/>
      <c r="BH7" s="210"/>
      <c r="BI7" s="220"/>
      <c r="BJ7" s="221"/>
      <c r="BK7" s="222"/>
      <c r="BL7" s="221"/>
      <c r="BM7" s="211"/>
      <c r="BN7" s="220"/>
      <c r="BO7" s="211"/>
      <c r="BP7" s="218"/>
    </row>
    <row r="8" spans="2:68" ht="18" x14ac:dyDescent="0.25">
      <c r="B8" s="253" t="s">
        <v>286</v>
      </c>
      <c r="C8" s="375"/>
      <c r="D8" s="254"/>
      <c r="E8" s="254"/>
      <c r="F8" s="255"/>
      <c r="G8" s="245"/>
      <c r="H8" s="246"/>
      <c r="I8" s="256" t="s">
        <v>155</v>
      </c>
      <c r="J8" s="257" t="e">
        <f>C23</f>
        <v>#N/A</v>
      </c>
      <c r="K8" s="258"/>
      <c r="L8" s="257" t="e">
        <f>C23</f>
        <v>#N/A</v>
      </c>
      <c r="M8" s="251"/>
      <c r="O8" s="251"/>
      <c r="P8" s="251"/>
      <c r="Q8" s="58"/>
      <c r="AC8" s="58"/>
      <c r="AD8" s="58"/>
      <c r="AE8" s="58"/>
      <c r="AF8" s="58"/>
      <c r="AH8" s="26" t="s">
        <v>299</v>
      </c>
      <c r="AJ8" s="259">
        <v>1.84</v>
      </c>
      <c r="AK8" s="259">
        <f t="shared" ref="AK8:AK17" si="0">(AL8+AJ8)/2</f>
        <v>2.3353846153846156</v>
      </c>
      <c r="AL8" s="259">
        <f t="shared" ref="AL8:AL17" si="1">AJ8/0.65</f>
        <v>2.8307692307692309</v>
      </c>
      <c r="AM8" s="201">
        <v>0.12665999999999999</v>
      </c>
      <c r="AN8" s="201">
        <v>300</v>
      </c>
      <c r="AO8" s="260">
        <v>0.61</v>
      </c>
      <c r="AQ8" s="261" t="s">
        <v>129</v>
      </c>
      <c r="AR8" s="262">
        <v>300</v>
      </c>
      <c r="AS8" s="201">
        <v>1</v>
      </c>
      <c r="AV8" s="261" t="s">
        <v>129</v>
      </c>
      <c r="AW8" s="263">
        <v>0.19</v>
      </c>
      <c r="AX8" s="199" t="s">
        <v>130</v>
      </c>
      <c r="AZ8" s="218"/>
      <c r="BA8" s="419"/>
      <c r="BB8" s="419"/>
      <c r="BC8" s="419"/>
      <c r="BD8" s="419"/>
      <c r="BE8" s="419"/>
      <c r="BF8" s="210"/>
      <c r="BG8" s="211"/>
      <c r="BH8" s="210"/>
      <c r="BI8" s="226"/>
      <c r="BJ8" s="227"/>
      <c r="BK8" s="211"/>
      <c r="BL8" s="227"/>
      <c r="BM8" s="211"/>
      <c r="BN8" s="220"/>
      <c r="BO8" s="211"/>
      <c r="BP8" s="218"/>
    </row>
    <row r="9" spans="2:68" ht="20.25" x14ac:dyDescent="0.3">
      <c r="B9" s="236" t="s">
        <v>131</v>
      </c>
      <c r="C9" s="371"/>
      <c r="D9" s="212"/>
      <c r="E9" s="264" t="s">
        <v>276</v>
      </c>
      <c r="F9" s="232"/>
      <c r="G9" s="210"/>
      <c r="H9" s="227"/>
      <c r="I9" s="265" t="s">
        <v>240</v>
      </c>
      <c r="J9" s="266" t="e">
        <f>(J8/12)*10</f>
        <v>#N/A</v>
      </c>
      <c r="K9" s="266"/>
      <c r="L9" s="266" t="e">
        <f>J9*0.8</f>
        <v>#N/A</v>
      </c>
      <c r="M9" s="251"/>
      <c r="O9" s="251"/>
      <c r="P9" s="251"/>
      <c r="Q9" s="218"/>
      <c r="X9" s="57" t="s">
        <v>268</v>
      </c>
      <c r="Y9" s="57" t="s">
        <v>269</v>
      </c>
      <c r="Z9" s="57" t="s">
        <v>266</v>
      </c>
      <c r="AA9" s="57"/>
      <c r="AB9" s="57" t="s">
        <v>267</v>
      </c>
      <c r="AH9" s="26" t="s">
        <v>300</v>
      </c>
      <c r="AJ9" s="259">
        <v>1.92</v>
      </c>
      <c r="AK9" s="259">
        <f t="shared" si="0"/>
        <v>2.436923076923077</v>
      </c>
      <c r="AL9" s="259">
        <f t="shared" si="1"/>
        <v>2.9538461538461536</v>
      </c>
      <c r="AM9" s="201">
        <v>0.59599999999999997</v>
      </c>
      <c r="AN9" s="201">
        <v>300</v>
      </c>
      <c r="AO9" s="260">
        <v>0.68</v>
      </c>
      <c r="AQ9" s="267" t="s">
        <v>134</v>
      </c>
      <c r="AR9" s="268">
        <v>300</v>
      </c>
      <c r="AS9" s="201">
        <v>1</v>
      </c>
      <c r="AV9" s="267" t="s">
        <v>134</v>
      </c>
      <c r="AW9" s="269">
        <v>0.19</v>
      </c>
      <c r="AX9" s="199" t="s">
        <v>130</v>
      </c>
      <c r="AZ9" s="218"/>
      <c r="BA9" s="210"/>
      <c r="BB9" s="227"/>
      <c r="BC9" s="210"/>
      <c r="BD9" s="233"/>
      <c r="BE9" s="227"/>
      <c r="BF9" s="220"/>
      <c r="BG9" s="211"/>
      <c r="BH9" s="233"/>
      <c r="BI9" s="210"/>
      <c r="BJ9" s="233"/>
      <c r="BK9" s="226"/>
      <c r="BL9" s="233"/>
      <c r="BM9" s="234"/>
      <c r="BN9" s="234"/>
      <c r="BO9" s="234"/>
      <c r="BP9" s="218"/>
    </row>
    <row r="10" spans="2:68" ht="20.25" x14ac:dyDescent="0.3">
      <c r="B10" s="236" t="s">
        <v>135</v>
      </c>
      <c r="C10" s="63"/>
      <c r="D10" s="212"/>
      <c r="E10" s="63"/>
      <c r="F10" s="232"/>
      <c r="G10" s="245"/>
      <c r="H10" s="246"/>
      <c r="I10" s="265" t="s">
        <v>239</v>
      </c>
      <c r="J10" s="266" t="e">
        <f>(J8/12)*25</f>
        <v>#N/A</v>
      </c>
      <c r="K10" s="266"/>
      <c r="L10" s="266" t="e">
        <f>J10*0.8</f>
        <v>#N/A</v>
      </c>
      <c r="M10" s="251"/>
      <c r="O10" s="251"/>
      <c r="P10" s="251"/>
      <c r="Q10" s="218"/>
      <c r="X10" s="199" t="s">
        <v>294</v>
      </c>
      <c r="Y10" s="274">
        <f t="shared" ref="Y10:Y24" si="2">IF($AM$102=1,Z10,AB10)</f>
        <v>0.69865599999999994</v>
      </c>
      <c r="Z10" s="275">
        <f>'Full Roll'!J6</f>
        <v>0.87331999999999987</v>
      </c>
      <c r="AA10" s="275"/>
      <c r="AB10" s="275">
        <f>'Full Roll'!L6</f>
        <v>0.69865599999999994</v>
      </c>
      <c r="AC10" s="199"/>
      <c r="AD10" s="199"/>
      <c r="AE10" s="199"/>
      <c r="AH10" s="26" t="s">
        <v>301</v>
      </c>
      <c r="AJ10" s="259">
        <v>2.2000000000000002</v>
      </c>
      <c r="AK10" s="259">
        <f t="shared" si="0"/>
        <v>2.7923076923076922</v>
      </c>
      <c r="AL10" s="259">
        <f t="shared" si="1"/>
        <v>3.3846153846153846</v>
      </c>
      <c r="AM10" s="201">
        <v>0.66</v>
      </c>
      <c r="AN10" s="201">
        <v>300</v>
      </c>
      <c r="AO10" s="260">
        <v>1.1100000000000001</v>
      </c>
      <c r="AQ10" s="267" t="s">
        <v>132</v>
      </c>
      <c r="AR10" s="268">
        <v>300</v>
      </c>
      <c r="AS10" s="201">
        <v>1</v>
      </c>
      <c r="AV10" s="267" t="s">
        <v>132</v>
      </c>
      <c r="AW10" s="269">
        <v>0.33</v>
      </c>
      <c r="AX10" s="199" t="s">
        <v>130</v>
      </c>
      <c r="AZ10" s="270" t="s">
        <v>299</v>
      </c>
      <c r="BA10" s="270" t="s">
        <v>300</v>
      </c>
      <c r="BB10" s="270" t="s">
        <v>301</v>
      </c>
      <c r="BC10" s="270" t="s">
        <v>302</v>
      </c>
      <c r="BD10" s="270" t="s">
        <v>303</v>
      </c>
      <c r="BE10" s="270" t="s">
        <v>304</v>
      </c>
      <c r="BF10" s="270" t="s">
        <v>305</v>
      </c>
      <c r="BG10" s="270" t="s">
        <v>306</v>
      </c>
      <c r="BH10" s="270" t="s">
        <v>307</v>
      </c>
      <c r="BI10" s="270" t="s">
        <v>308</v>
      </c>
      <c r="BJ10" s="271"/>
      <c r="BK10" s="270">
        <f>C8</f>
        <v>0</v>
      </c>
      <c r="BL10" s="271"/>
      <c r="BM10" s="271" t="s">
        <v>287</v>
      </c>
      <c r="BN10" s="271"/>
      <c r="BO10" s="210"/>
      <c r="BP10" s="218"/>
    </row>
    <row r="11" spans="2:68" ht="20.25" x14ac:dyDescent="0.3">
      <c r="B11" s="230"/>
      <c r="C11" s="272"/>
      <c r="D11" s="212"/>
      <c r="E11" s="212"/>
      <c r="F11" s="232"/>
      <c r="G11" s="245"/>
      <c r="H11" s="246"/>
      <c r="I11" s="265" t="s">
        <v>262</v>
      </c>
      <c r="J11" s="266" t="e">
        <f>(J8/12)*7</f>
        <v>#N/A</v>
      </c>
      <c r="K11" s="266"/>
      <c r="L11" s="266" t="e">
        <f>J11*0.8</f>
        <v>#N/A</v>
      </c>
      <c r="M11" s="251"/>
      <c r="O11" s="251"/>
      <c r="P11" s="251"/>
      <c r="Q11" s="218"/>
      <c r="X11" s="273" t="s">
        <v>129</v>
      </c>
      <c r="Y11" s="274">
        <f t="shared" si="2"/>
        <v>0.9552480000000001</v>
      </c>
      <c r="Z11" s="275">
        <f>'Full Roll'!J9</f>
        <v>1.1940600000000001</v>
      </c>
      <c r="AA11" s="275"/>
      <c r="AB11" s="275">
        <f>'Full Roll'!L9</f>
        <v>0.9552480000000001</v>
      </c>
      <c r="AC11" s="199"/>
      <c r="AD11" s="199"/>
      <c r="AE11" s="199"/>
      <c r="AH11" s="26" t="s">
        <v>302</v>
      </c>
      <c r="AJ11" s="259">
        <v>3.25</v>
      </c>
      <c r="AK11" s="259">
        <f t="shared" si="0"/>
        <v>4.125</v>
      </c>
      <c r="AL11" s="259">
        <f t="shared" si="1"/>
        <v>5</v>
      </c>
      <c r="AM11" s="201">
        <v>0.98599999999999999</v>
      </c>
      <c r="AN11" s="201">
        <v>300</v>
      </c>
      <c r="AO11" s="260">
        <v>1.1100000000000001</v>
      </c>
      <c r="AQ11" s="267" t="s">
        <v>137</v>
      </c>
      <c r="AR11" s="268">
        <v>300</v>
      </c>
      <c r="AS11" s="201">
        <v>1</v>
      </c>
      <c r="AV11" s="267" t="s">
        <v>137</v>
      </c>
      <c r="AW11" s="269">
        <v>0.33</v>
      </c>
      <c r="AX11" s="199" t="s">
        <v>130</v>
      </c>
      <c r="AZ11" s="218" t="s">
        <v>294</v>
      </c>
      <c r="BA11" s="273" t="s">
        <v>129</v>
      </c>
      <c r="BB11" s="273" t="s">
        <v>132</v>
      </c>
      <c r="BC11" s="273" t="s">
        <v>132</v>
      </c>
      <c r="BD11" s="273" t="s">
        <v>142</v>
      </c>
      <c r="BE11" s="273" t="s">
        <v>142</v>
      </c>
      <c r="BF11" s="273" t="s">
        <v>142</v>
      </c>
      <c r="BG11" s="273" t="s">
        <v>149</v>
      </c>
      <c r="BH11" s="273" t="s">
        <v>149</v>
      </c>
      <c r="BI11" s="273" t="s">
        <v>149</v>
      </c>
      <c r="BJ11" s="271"/>
      <c r="BK11" s="271" t="e">
        <f>HLOOKUP($C$8,$AZ$10:$BI$15,ROW()-(ROW()-2),FALSE)</f>
        <v>#N/A</v>
      </c>
      <c r="BL11" s="271"/>
      <c r="BN11" s="271"/>
      <c r="BO11" s="276"/>
      <c r="BP11" s="218"/>
    </row>
    <row r="12" spans="2:68" ht="20.25" x14ac:dyDescent="0.3">
      <c r="B12" s="236" t="s">
        <v>110</v>
      </c>
      <c r="C12" s="197"/>
      <c r="D12" s="212"/>
      <c r="E12" s="212"/>
      <c r="F12" s="232"/>
      <c r="G12" s="210"/>
      <c r="H12" s="227"/>
      <c r="I12" s="265" t="s">
        <v>261</v>
      </c>
      <c r="J12" s="266" t="e">
        <f>(J8/12)*9</f>
        <v>#N/A</v>
      </c>
      <c r="K12" s="277"/>
      <c r="L12" s="266" t="e">
        <f>J12*0.8</f>
        <v>#N/A</v>
      </c>
      <c r="M12" s="251"/>
      <c r="N12" s="247"/>
      <c r="O12" s="251"/>
      <c r="P12" s="251"/>
      <c r="Q12" s="218"/>
      <c r="X12" s="273" t="s">
        <v>134</v>
      </c>
      <c r="Y12" s="274">
        <f t="shared" si="2"/>
        <v>1.0693759999999999</v>
      </c>
      <c r="Z12" s="275">
        <f>'Full Roll'!J10</f>
        <v>1.3367199999999999</v>
      </c>
      <c r="AA12" s="275"/>
      <c r="AB12" s="275">
        <f>'Full Roll'!L10</f>
        <v>1.0693759999999999</v>
      </c>
      <c r="AC12" s="199"/>
      <c r="AD12" s="199"/>
      <c r="AE12" s="199"/>
      <c r="AH12" s="26" t="s">
        <v>303</v>
      </c>
      <c r="AJ12" s="259">
        <v>3.1</v>
      </c>
      <c r="AK12" s="259">
        <f t="shared" si="0"/>
        <v>3.9346153846153848</v>
      </c>
      <c r="AL12" s="259">
        <f t="shared" si="1"/>
        <v>4.7692307692307692</v>
      </c>
      <c r="AM12" s="201">
        <v>1</v>
      </c>
      <c r="AN12" s="201">
        <v>200</v>
      </c>
      <c r="AO12" s="260">
        <v>2.6</v>
      </c>
      <c r="AQ12" s="267" t="s">
        <v>139</v>
      </c>
      <c r="AR12" s="268">
        <v>300</v>
      </c>
      <c r="AS12" s="201">
        <v>1</v>
      </c>
      <c r="AV12" s="267" t="s">
        <v>139</v>
      </c>
      <c r="AW12" s="269">
        <v>0.33</v>
      </c>
      <c r="AX12" s="199" t="s">
        <v>130</v>
      </c>
      <c r="AZ12" s="218" t="s">
        <v>295</v>
      </c>
      <c r="BA12" s="273" t="s">
        <v>134</v>
      </c>
      <c r="BB12" s="273" t="s">
        <v>137</v>
      </c>
      <c r="BC12" s="273" t="s">
        <v>137</v>
      </c>
      <c r="BD12" s="273" t="s">
        <v>145</v>
      </c>
      <c r="BE12" s="273" t="s">
        <v>145</v>
      </c>
      <c r="BF12" s="273" t="s">
        <v>145</v>
      </c>
      <c r="BG12" s="273" t="s">
        <v>274</v>
      </c>
      <c r="BH12" s="273" t="s">
        <v>274</v>
      </c>
      <c r="BI12" s="273" t="s">
        <v>274</v>
      </c>
      <c r="BJ12" s="271"/>
      <c r="BK12" s="271" t="e">
        <f>HLOOKUP($C$8,$AZ$10:$BI$15,ROW()-(ROW()-3),FALSE)</f>
        <v>#N/A</v>
      </c>
      <c r="BL12" s="271"/>
      <c r="BM12" s="271" t="s">
        <v>288</v>
      </c>
      <c r="BN12" s="271"/>
      <c r="BO12" s="276"/>
      <c r="BP12" s="218"/>
    </row>
    <row r="13" spans="2:68" ht="15.75" x14ac:dyDescent="0.25">
      <c r="B13" s="236" t="s">
        <v>116</v>
      </c>
      <c r="C13" s="198"/>
      <c r="D13" s="212"/>
      <c r="E13" s="212"/>
      <c r="F13" s="232"/>
      <c r="G13" s="210"/>
      <c r="H13" s="227"/>
      <c r="I13" s="247"/>
      <c r="J13" s="277"/>
      <c r="K13" s="277"/>
      <c r="L13" s="277"/>
      <c r="M13" s="251"/>
      <c r="N13" s="247"/>
      <c r="O13" s="251"/>
      <c r="P13" s="251"/>
      <c r="Q13" s="218"/>
      <c r="X13" s="273" t="s">
        <v>132</v>
      </c>
      <c r="Y13" s="274">
        <f t="shared" si="2"/>
        <v>1.5541119999999999</v>
      </c>
      <c r="Z13" s="275">
        <f>'Full Roll'!J13</f>
        <v>1.9426399999999999</v>
      </c>
      <c r="AA13" s="275"/>
      <c r="AB13" s="275">
        <f>'Full Roll'!L13</f>
        <v>1.5541119999999999</v>
      </c>
      <c r="AC13" s="199"/>
      <c r="AD13" s="199"/>
      <c r="AE13" s="199"/>
      <c r="AH13" s="26" t="s">
        <v>304</v>
      </c>
      <c r="AJ13" s="259">
        <v>3.85</v>
      </c>
      <c r="AK13" s="259">
        <f t="shared" si="0"/>
        <v>4.8865384615384615</v>
      </c>
      <c r="AL13" s="259">
        <f t="shared" si="1"/>
        <v>5.9230769230769234</v>
      </c>
      <c r="AM13" s="201">
        <v>1.25</v>
      </c>
      <c r="AN13" s="201">
        <v>200</v>
      </c>
      <c r="AO13" s="260">
        <v>2.6</v>
      </c>
      <c r="AQ13" s="267" t="s">
        <v>142</v>
      </c>
      <c r="AR13" s="268">
        <v>200</v>
      </c>
      <c r="AS13" s="201">
        <v>1.5</v>
      </c>
      <c r="AV13" s="267" t="s">
        <v>142</v>
      </c>
      <c r="AW13" s="269">
        <v>0.75</v>
      </c>
      <c r="AX13" s="199" t="s">
        <v>130</v>
      </c>
      <c r="AZ13" s="218" t="s">
        <v>275</v>
      </c>
      <c r="BA13" s="201" t="s">
        <v>275</v>
      </c>
      <c r="BB13" s="273" t="s">
        <v>270</v>
      </c>
      <c r="BC13" s="273" t="s">
        <v>270</v>
      </c>
      <c r="BD13" s="273" t="s">
        <v>272</v>
      </c>
      <c r="BE13" s="273" t="s">
        <v>272</v>
      </c>
      <c r="BF13" s="273" t="s">
        <v>272</v>
      </c>
      <c r="BG13" s="207" t="s">
        <v>275</v>
      </c>
      <c r="BH13" s="207" t="s">
        <v>275</v>
      </c>
      <c r="BI13" s="207" t="s">
        <v>275</v>
      </c>
      <c r="BJ13" s="271"/>
      <c r="BK13" s="271" t="e">
        <f>HLOOKUP($C$8,$AZ$10:$BI$15,ROW()-(ROW()-4),FALSE)</f>
        <v>#N/A</v>
      </c>
      <c r="BL13" s="271"/>
      <c r="BN13" s="271"/>
      <c r="BO13" s="276"/>
      <c r="BP13" s="218"/>
    </row>
    <row r="14" spans="2:68" ht="20.25" x14ac:dyDescent="0.3">
      <c r="B14" s="236" t="s">
        <v>126</v>
      </c>
      <c r="C14" s="63"/>
      <c r="D14" s="212"/>
      <c r="E14" s="212"/>
      <c r="F14" s="232"/>
      <c r="G14" s="245"/>
      <c r="H14" s="246"/>
      <c r="I14" s="265" t="s">
        <v>243</v>
      </c>
      <c r="J14" s="278">
        <f>'Full Roll'!J9</f>
        <v>1.1940600000000001</v>
      </c>
      <c r="K14" s="266"/>
      <c r="L14" s="266">
        <f>'Full Roll'!L9</f>
        <v>0.9552480000000001</v>
      </c>
      <c r="M14" s="251"/>
      <c r="N14" s="247"/>
      <c r="O14" s="251"/>
      <c r="P14" s="251"/>
      <c r="Q14" s="58"/>
      <c r="X14" s="273" t="s">
        <v>137</v>
      </c>
      <c r="Y14" s="274">
        <f t="shared" si="2"/>
        <v>1.7394720000000001</v>
      </c>
      <c r="Z14" s="275">
        <f>'Full Roll'!J14</f>
        <v>2.1743399999999999</v>
      </c>
      <c r="AA14" s="275"/>
      <c r="AB14" s="275">
        <f>'Full Roll'!L14</f>
        <v>1.7394720000000001</v>
      </c>
      <c r="AC14" s="199"/>
      <c r="AD14" s="199"/>
      <c r="AE14" s="199"/>
      <c r="AH14" s="26" t="s">
        <v>305</v>
      </c>
      <c r="AJ14" s="259">
        <v>5.0999999999999996</v>
      </c>
      <c r="AK14" s="259">
        <f t="shared" si="0"/>
        <v>6.4730769230769223</v>
      </c>
      <c r="AL14" s="259">
        <f t="shared" si="1"/>
        <v>7.8461538461538449</v>
      </c>
      <c r="AM14" s="201">
        <v>1.5</v>
      </c>
      <c r="AN14" s="201">
        <v>200</v>
      </c>
      <c r="AO14" s="260">
        <v>2.6</v>
      </c>
      <c r="AQ14" s="267" t="s">
        <v>145</v>
      </c>
      <c r="AR14" s="268">
        <v>200</v>
      </c>
      <c r="AS14" s="201">
        <v>1.5</v>
      </c>
      <c r="AV14" s="267" t="s">
        <v>145</v>
      </c>
      <c r="AW14" s="269">
        <v>0.75</v>
      </c>
      <c r="AX14" s="199" t="s">
        <v>130</v>
      </c>
      <c r="AZ14" s="218" t="s">
        <v>289</v>
      </c>
      <c r="BA14" s="201" t="s">
        <v>289</v>
      </c>
      <c r="BB14" s="273" t="s">
        <v>271</v>
      </c>
      <c r="BC14" s="273" t="s">
        <v>271</v>
      </c>
      <c r="BD14" s="273" t="s">
        <v>273</v>
      </c>
      <c r="BE14" s="273" t="s">
        <v>273</v>
      </c>
      <c r="BF14" s="273" t="s">
        <v>273</v>
      </c>
      <c r="BG14" s="207" t="s">
        <v>289</v>
      </c>
      <c r="BH14" s="207" t="s">
        <v>289</v>
      </c>
      <c r="BI14" s="207" t="s">
        <v>289</v>
      </c>
      <c r="BJ14" s="271"/>
      <c r="BK14" s="271" t="e">
        <f>HLOOKUP($C$8,$AZ$10:$BI$15,ROW()-(ROW()-5),FALSE)</f>
        <v>#N/A</v>
      </c>
      <c r="BL14" s="271"/>
      <c r="BM14" s="271"/>
      <c r="BN14" s="271"/>
      <c r="BO14" s="276"/>
      <c r="BP14" s="218"/>
    </row>
    <row r="15" spans="2:68" ht="20.25" x14ac:dyDescent="0.3">
      <c r="B15" s="279"/>
      <c r="C15" s="212"/>
      <c r="D15" s="212"/>
      <c r="E15" s="212"/>
      <c r="F15" s="232"/>
      <c r="G15" s="245"/>
      <c r="H15" s="246"/>
      <c r="I15" s="265" t="s">
        <v>244</v>
      </c>
      <c r="J15" s="278">
        <f>'Full Roll'!J10</f>
        <v>1.3367199999999999</v>
      </c>
      <c r="K15" s="266"/>
      <c r="L15" s="266">
        <f>'Full Roll'!L10</f>
        <v>1.0693759999999999</v>
      </c>
      <c r="M15" s="251"/>
      <c r="N15" s="247"/>
      <c r="O15" s="251"/>
      <c r="P15" s="251"/>
      <c r="Q15" s="58"/>
      <c r="X15" s="273" t="s">
        <v>270</v>
      </c>
      <c r="Y15" s="274">
        <f t="shared" si="2"/>
        <v>1.8773440000000001</v>
      </c>
      <c r="Z15" s="275">
        <f>'Full Roll'!J16</f>
        <v>2.3466800000000001</v>
      </c>
      <c r="AA15" s="275"/>
      <c r="AB15" s="275">
        <f>'Full Roll'!L16</f>
        <v>1.8773440000000001</v>
      </c>
      <c r="AC15" s="199"/>
      <c r="AD15" s="199"/>
      <c r="AE15" s="199"/>
      <c r="AH15" s="26" t="s">
        <v>306</v>
      </c>
      <c r="AJ15" s="259">
        <v>4.1500000000000004</v>
      </c>
      <c r="AK15" s="259">
        <f t="shared" si="0"/>
        <v>5.2673076923076927</v>
      </c>
      <c r="AL15" s="259">
        <f t="shared" si="1"/>
        <v>6.384615384615385</v>
      </c>
      <c r="AM15" s="201">
        <v>1.2</v>
      </c>
      <c r="AN15" s="201">
        <v>100</v>
      </c>
      <c r="AO15" s="260">
        <v>4.21</v>
      </c>
      <c r="AQ15" s="267" t="s">
        <v>149</v>
      </c>
      <c r="AR15" s="268">
        <v>100</v>
      </c>
      <c r="AS15" s="201">
        <v>2</v>
      </c>
      <c r="AV15" s="267" t="s">
        <v>149</v>
      </c>
      <c r="AW15" s="269">
        <v>1.33</v>
      </c>
      <c r="AX15" s="199" t="s">
        <v>130</v>
      </c>
      <c r="AZ15" s="218" t="s">
        <v>289</v>
      </c>
      <c r="BA15" s="201" t="s">
        <v>289</v>
      </c>
      <c r="BB15" s="207" t="s">
        <v>275</v>
      </c>
      <c r="BC15" s="207" t="s">
        <v>275</v>
      </c>
      <c r="BD15" s="207" t="s">
        <v>275</v>
      </c>
      <c r="BE15" s="207" t="s">
        <v>275</v>
      </c>
      <c r="BF15" s="207" t="s">
        <v>275</v>
      </c>
      <c r="BG15" s="207" t="s">
        <v>289</v>
      </c>
      <c r="BH15" s="207" t="s">
        <v>289</v>
      </c>
      <c r="BI15" s="207" t="s">
        <v>289</v>
      </c>
      <c r="BJ15" s="271"/>
      <c r="BK15" s="271" t="e">
        <f>HLOOKUP($C$8,$AZ$10:$BI$15,ROW()-(ROW()-6),FALSE)</f>
        <v>#N/A</v>
      </c>
      <c r="BL15" s="271"/>
      <c r="BM15" s="271"/>
      <c r="BN15" s="280"/>
      <c r="BO15" s="276"/>
      <c r="BP15" s="218"/>
    </row>
    <row r="16" spans="2:68" ht="20.25" x14ac:dyDescent="0.3">
      <c r="B16" s="279"/>
      <c r="C16" s="212"/>
      <c r="D16" s="212"/>
      <c r="E16" s="212"/>
      <c r="F16" s="232"/>
      <c r="G16" s="245"/>
      <c r="H16" s="246"/>
      <c r="I16" s="265" t="s">
        <v>245</v>
      </c>
      <c r="J16" s="278">
        <f>'Full Roll'!J13</f>
        <v>1.9426399999999999</v>
      </c>
      <c r="K16" s="266"/>
      <c r="L16" s="266">
        <f>'Full Roll'!L13</f>
        <v>1.5541119999999999</v>
      </c>
      <c r="M16" s="251"/>
      <c r="N16" s="247"/>
      <c r="O16" s="251"/>
      <c r="P16" s="251"/>
      <c r="Q16" s="281"/>
      <c r="X16" s="273" t="s">
        <v>271</v>
      </c>
      <c r="Y16" s="274">
        <f t="shared" si="2"/>
        <v>2.0966400000000003</v>
      </c>
      <c r="Z16" s="275">
        <f>'Full Roll'!J17</f>
        <v>2.6208</v>
      </c>
      <c r="AA16" s="275"/>
      <c r="AB16" s="275">
        <f>'Full Roll'!L17</f>
        <v>2.0966400000000003</v>
      </c>
      <c r="AC16" s="199"/>
      <c r="AD16" s="199"/>
      <c r="AE16" s="199"/>
      <c r="AH16" s="26" t="s">
        <v>307</v>
      </c>
      <c r="AJ16" s="259">
        <v>5</v>
      </c>
      <c r="AK16" s="259">
        <f t="shared" si="0"/>
        <v>6.3461538461538458</v>
      </c>
      <c r="AL16" s="259">
        <f t="shared" si="1"/>
        <v>7.6923076923076916</v>
      </c>
      <c r="AM16" s="201">
        <v>1.65</v>
      </c>
      <c r="AN16" s="201">
        <v>100</v>
      </c>
      <c r="AO16" s="260">
        <v>4.21</v>
      </c>
      <c r="AQ16" s="282" t="s">
        <v>154</v>
      </c>
      <c r="AR16" s="283">
        <v>100</v>
      </c>
      <c r="AS16" s="201">
        <v>2</v>
      </c>
      <c r="AV16" s="282" t="s">
        <v>154</v>
      </c>
      <c r="AW16" s="284">
        <v>1.33</v>
      </c>
      <c r="AX16" s="199" t="s">
        <v>130</v>
      </c>
      <c r="AZ16" s="218"/>
      <c r="BA16" s="210"/>
      <c r="BB16" s="210"/>
      <c r="BC16" s="210"/>
      <c r="BD16" s="242"/>
      <c r="BE16" s="227"/>
      <c r="BF16" s="210"/>
      <c r="BG16" s="227"/>
      <c r="BH16" s="285"/>
      <c r="BI16" s="286"/>
      <c r="BJ16" s="286"/>
      <c r="BK16" s="286"/>
      <c r="BL16" s="286"/>
      <c r="BM16" s="287"/>
      <c r="BN16" s="280"/>
      <c r="BO16" s="276"/>
      <c r="BP16" s="218"/>
    </row>
    <row r="17" spans="2:68" ht="20.25" x14ac:dyDescent="0.3">
      <c r="B17" s="279"/>
      <c r="C17" s="288"/>
      <c r="D17" s="212"/>
      <c r="E17" s="212"/>
      <c r="F17" s="232"/>
      <c r="G17" s="245"/>
      <c r="H17" s="246"/>
      <c r="I17" s="265" t="s">
        <v>246</v>
      </c>
      <c r="J17" s="278">
        <f>'Full Roll'!J14</f>
        <v>2.1743399999999999</v>
      </c>
      <c r="K17" s="266"/>
      <c r="L17" s="266">
        <f>'Full Roll'!L14</f>
        <v>1.7394720000000001</v>
      </c>
      <c r="M17" s="251"/>
      <c r="N17" s="247"/>
      <c r="O17" s="251"/>
      <c r="P17" s="251"/>
      <c r="Q17" s="218"/>
      <c r="X17" s="273" t="s">
        <v>142</v>
      </c>
      <c r="Y17" s="274">
        <f t="shared" si="2"/>
        <v>3.6501360000000007</v>
      </c>
      <c r="Z17" s="275">
        <f>'Full Roll'!J24</f>
        <v>4.5626700000000007</v>
      </c>
      <c r="AA17" s="275"/>
      <c r="AB17" s="275">
        <f>'Full Roll'!L24</f>
        <v>3.6501360000000007</v>
      </c>
      <c r="AC17" s="199"/>
      <c r="AD17" s="199"/>
      <c r="AE17" s="199"/>
      <c r="AH17" s="26" t="s">
        <v>308</v>
      </c>
      <c r="AJ17" s="259">
        <v>6.15</v>
      </c>
      <c r="AK17" s="259">
        <f t="shared" si="0"/>
        <v>7.805769230769231</v>
      </c>
      <c r="AL17" s="259">
        <f t="shared" si="1"/>
        <v>9.4615384615384617</v>
      </c>
      <c r="AM17" s="201">
        <v>2</v>
      </c>
      <c r="AN17" s="201">
        <v>100</v>
      </c>
      <c r="AO17" s="260">
        <v>4.21</v>
      </c>
      <c r="AS17" s="289" t="s">
        <v>158</v>
      </c>
      <c r="AW17" s="290"/>
      <c r="AZ17" s="218"/>
      <c r="BA17" s="210"/>
      <c r="BB17" s="210"/>
      <c r="BC17" s="210"/>
      <c r="BD17" s="242"/>
      <c r="BE17" s="227"/>
      <c r="BF17" s="210"/>
      <c r="BG17" s="227"/>
      <c r="BH17" s="285"/>
      <c r="BI17" s="286"/>
      <c r="BJ17" s="286"/>
      <c r="BK17" s="286"/>
      <c r="BL17" s="286"/>
      <c r="BM17" s="287"/>
      <c r="BN17" s="280"/>
      <c r="BO17" s="276"/>
      <c r="BP17" s="218"/>
    </row>
    <row r="18" spans="2:68" ht="20.25" x14ac:dyDescent="0.3">
      <c r="B18" s="291" t="s">
        <v>140</v>
      </c>
      <c r="C18" s="364" t="e">
        <f>VLOOKUP(C13,B110:F112,3,FALSE)</f>
        <v>#N/A</v>
      </c>
      <c r="D18" s="292" t="s">
        <v>115</v>
      </c>
      <c r="E18" s="237" t="e">
        <f>C18/12</f>
        <v>#N/A</v>
      </c>
      <c r="F18" s="232" t="s">
        <v>109</v>
      </c>
      <c r="G18" s="245"/>
      <c r="H18" s="246"/>
      <c r="I18" s="265" t="s">
        <v>247</v>
      </c>
      <c r="J18" s="278">
        <f>'Full Roll'!J24</f>
        <v>4.5626700000000007</v>
      </c>
      <c r="K18" s="266"/>
      <c r="L18" s="266">
        <f>'Full Roll'!L24</f>
        <v>3.6501360000000007</v>
      </c>
      <c r="M18" s="251"/>
      <c r="N18" s="247"/>
      <c r="O18" s="251"/>
      <c r="P18" s="251"/>
      <c r="Q18" s="293"/>
      <c r="X18" s="273" t="s">
        <v>145</v>
      </c>
      <c r="Y18" s="274">
        <f t="shared" si="2"/>
        <v>4.0921440000000002</v>
      </c>
      <c r="Z18" s="275">
        <f>'Full Roll'!J25</f>
        <v>5.1151800000000005</v>
      </c>
      <c r="AA18" s="275"/>
      <c r="AB18" s="275">
        <f>'Full Roll'!L25</f>
        <v>4.0921440000000002</v>
      </c>
      <c r="AC18" s="199"/>
      <c r="AD18" s="199"/>
      <c r="AE18" s="199"/>
      <c r="AS18" s="294" t="e">
        <f>VLOOKUP(C9,AQ8:AS16,3,FALSE)</f>
        <v>#N/A</v>
      </c>
      <c r="AT18" s="261"/>
      <c r="AU18" s="295"/>
      <c r="AV18" s="296" t="s">
        <v>160</v>
      </c>
      <c r="AW18" s="297" t="e">
        <f>VLOOKUP(#REF!,AV8:AW16,2,FALSE)</f>
        <v>#REF!</v>
      </c>
      <c r="AX18" s="298" t="s">
        <v>130</v>
      </c>
      <c r="AZ18" s="218"/>
      <c r="BA18" s="210"/>
      <c r="BB18" s="210"/>
      <c r="BC18" s="210"/>
      <c r="BD18" s="242"/>
      <c r="BE18" s="227"/>
      <c r="BF18" s="245"/>
      <c r="BG18" s="246"/>
      <c r="BH18" s="285"/>
      <c r="BI18" s="286"/>
      <c r="BJ18" s="286"/>
      <c r="BK18" s="286"/>
      <c r="BL18" s="286"/>
      <c r="BM18" s="287"/>
      <c r="BN18" s="280"/>
      <c r="BO18" s="276"/>
      <c r="BP18" s="218"/>
    </row>
    <row r="19" spans="2:68" ht="21" thickBot="1" x14ac:dyDescent="0.35">
      <c r="B19" s="291" t="s">
        <v>283</v>
      </c>
      <c r="C19" s="364" t="e">
        <f>VLOOKUP(C13,B110:F112,4,FALSE)</f>
        <v>#N/A</v>
      </c>
      <c r="D19" s="292" t="s">
        <v>115</v>
      </c>
      <c r="E19" s="237" t="e">
        <f>C19/12</f>
        <v>#N/A</v>
      </c>
      <c r="F19" s="232" t="s">
        <v>109</v>
      </c>
      <c r="G19" s="245"/>
      <c r="H19" s="246"/>
      <c r="I19" s="265" t="s">
        <v>248</v>
      </c>
      <c r="J19" s="278">
        <f>'Full Roll'!J25</f>
        <v>5.1151800000000005</v>
      </c>
      <c r="K19" s="266"/>
      <c r="L19" s="266">
        <f>'Full Roll'!L25</f>
        <v>4.0921440000000002</v>
      </c>
      <c r="M19" s="251"/>
      <c r="N19" s="247"/>
      <c r="O19" s="251"/>
      <c r="P19" s="251"/>
      <c r="Q19" s="218"/>
      <c r="W19" s="299" t="b">
        <f>IF(C9=X19,Y19,IF(C9=X20,Y20,IF(C9=X21,Y21,IF(C9=X22,Y22,IF(C9=X23,E10,IF(C9=X10,Y10,IF(C9=X24,Y24)))))))</f>
        <v>0</v>
      </c>
      <c r="X19" s="273" t="s">
        <v>272</v>
      </c>
      <c r="Y19" s="274">
        <f t="shared" si="2"/>
        <v>4.4119039999999998</v>
      </c>
      <c r="Z19" s="275">
        <f>'Full Roll'!J27</f>
        <v>5.5148799999999998</v>
      </c>
      <c r="AA19" s="275"/>
      <c r="AB19" s="275">
        <f>'Full Roll'!L27</f>
        <v>4.4119039999999998</v>
      </c>
      <c r="AC19" s="199"/>
      <c r="AD19" s="199"/>
      <c r="AQ19" s="262" t="s">
        <v>162</v>
      </c>
      <c r="AT19" s="282"/>
      <c r="AU19" s="300"/>
      <c r="AV19" s="301" t="s">
        <v>163</v>
      </c>
      <c r="AW19" s="302" t="e">
        <f>VLOOKUP(AM26,AQ25:AR41,2,FALSE)</f>
        <v>#N/A</v>
      </c>
      <c r="AX19" s="303" t="s">
        <v>130</v>
      </c>
      <c r="AZ19" s="218"/>
      <c r="BA19" s="210"/>
      <c r="BB19" s="210"/>
      <c r="BC19" s="210"/>
      <c r="BD19" s="242"/>
      <c r="BE19" s="227"/>
      <c r="BF19" s="245"/>
      <c r="BG19" s="246"/>
      <c r="BH19" s="285"/>
      <c r="BI19" s="286"/>
      <c r="BJ19" s="286"/>
      <c r="BK19" s="286"/>
      <c r="BL19" s="286"/>
      <c r="BM19" s="287"/>
      <c r="BN19" s="280"/>
      <c r="BO19" s="276"/>
      <c r="BP19" s="218"/>
    </row>
    <row r="20" spans="2:68" ht="15.75" x14ac:dyDescent="0.25">
      <c r="B20" s="230" t="s">
        <v>146</v>
      </c>
      <c r="C20" s="365" t="e">
        <f>ROUNDUP(C18*C19/144,0)</f>
        <v>#N/A</v>
      </c>
      <c r="D20" s="304" t="s">
        <v>147</v>
      </c>
      <c r="E20" s="212"/>
      <c r="F20" s="232"/>
      <c r="G20" s="245"/>
      <c r="H20" s="246"/>
      <c r="I20" s="247"/>
      <c r="J20" s="251"/>
      <c r="K20" s="251"/>
      <c r="X20" s="273" t="s">
        <v>273</v>
      </c>
      <c r="Y20" s="274">
        <f t="shared" si="2"/>
        <v>4.9441280000000001</v>
      </c>
      <c r="Z20" s="275">
        <f>'Full Roll'!J28</f>
        <v>6.1801599999999999</v>
      </c>
      <c r="AA20" s="275"/>
      <c r="AB20" s="275">
        <f>'Full Roll'!L28</f>
        <v>4.9441280000000001</v>
      </c>
      <c r="AC20" s="199"/>
      <c r="AD20" s="199"/>
      <c r="AE20" s="199"/>
      <c r="AQ20" s="268" t="s">
        <v>165</v>
      </c>
      <c r="AW20" s="290"/>
      <c r="AZ20"/>
      <c r="BA20" s="210"/>
      <c r="BB20" s="210"/>
      <c r="BC20" s="210"/>
      <c r="BD20" s="242"/>
      <c r="BE20" s="227"/>
      <c r="BF20" s="245"/>
      <c r="BG20" s="246"/>
      <c r="BH20" s="285"/>
      <c r="BI20" s="286"/>
      <c r="BJ20" s="286"/>
      <c r="BK20" s="286"/>
      <c r="BL20" s="286"/>
      <c r="BM20" s="287"/>
      <c r="BN20" s="280"/>
      <c r="BO20" s="276"/>
      <c r="BP20" s="218"/>
    </row>
    <row r="21" spans="2:68" ht="15.75" x14ac:dyDescent="0.25">
      <c r="B21" s="305" t="s">
        <v>284</v>
      </c>
      <c r="C21" s="366" t="e">
        <f>VLOOKUP(C13,B110:F112,2,FALSE)</f>
        <v>#N/A</v>
      </c>
      <c r="D21" s="306" t="s">
        <v>151</v>
      </c>
      <c r="E21" s="212"/>
      <c r="F21" s="232"/>
      <c r="G21" s="245"/>
      <c r="H21" s="246"/>
      <c r="I21" s="57"/>
      <c r="J21" s="57"/>
      <c r="X21" s="273" t="s">
        <v>149</v>
      </c>
      <c r="Y21" s="274">
        <f t="shared" si="2"/>
        <v>6.6158400000000004</v>
      </c>
      <c r="Z21" s="275">
        <f>'Full Roll'!J32</f>
        <v>8.2698</v>
      </c>
      <c r="AA21" s="275"/>
      <c r="AB21" s="275">
        <f>'Full Roll'!L32</f>
        <v>6.6158400000000004</v>
      </c>
      <c r="AC21" s="199"/>
      <c r="AD21" s="199"/>
      <c r="AE21" s="199"/>
      <c r="AZ21"/>
      <c r="BA21" s="210"/>
      <c r="BB21" s="210"/>
      <c r="BC21" s="210"/>
      <c r="BD21" s="242"/>
      <c r="BE21" s="227"/>
      <c r="BF21" s="245"/>
      <c r="BG21" s="246"/>
      <c r="BH21" s="285"/>
      <c r="BI21" s="286"/>
      <c r="BJ21" s="286"/>
      <c r="BK21" s="286"/>
      <c r="BL21" s="286"/>
      <c r="BM21" s="287"/>
      <c r="BN21" s="280"/>
      <c r="BO21" s="276"/>
      <c r="BP21" s="218"/>
    </row>
    <row r="22" spans="2:68" ht="15.75" x14ac:dyDescent="0.25">
      <c r="B22" s="305" t="s">
        <v>282</v>
      </c>
      <c r="C22" s="366" t="e">
        <f>C21*C10</f>
        <v>#N/A</v>
      </c>
      <c r="D22" s="306" t="s">
        <v>151</v>
      </c>
      <c r="E22" s="212"/>
      <c r="F22" s="232"/>
      <c r="G22" s="245"/>
      <c r="H22" s="246"/>
      <c r="I22" s="218"/>
      <c r="J22" s="218"/>
      <c r="X22" s="273" t="s">
        <v>274</v>
      </c>
      <c r="Y22" s="274">
        <f t="shared" si="2"/>
        <v>7.4141759999999994</v>
      </c>
      <c r="Z22" s="275">
        <f>'Full Roll'!J33</f>
        <v>9.2677199999999988</v>
      </c>
      <c r="AA22" s="275"/>
      <c r="AB22" s="275">
        <f>'Full Roll'!L33</f>
        <v>7.4141759999999994</v>
      </c>
      <c r="AC22" s="199"/>
      <c r="AD22" s="199"/>
      <c r="AE22" s="199"/>
      <c r="AZ22"/>
      <c r="BA22" s="210"/>
      <c r="BB22" s="210"/>
      <c r="BC22" s="210"/>
      <c r="BD22" s="242"/>
      <c r="BE22" s="227"/>
      <c r="BF22" s="245"/>
      <c r="BG22" s="246"/>
      <c r="BH22" s="285"/>
      <c r="BI22" s="286"/>
      <c r="BJ22" s="286"/>
      <c r="BK22" s="286"/>
      <c r="BL22" s="286"/>
      <c r="BM22" s="287"/>
      <c r="BN22" s="280"/>
      <c r="BO22" s="276"/>
      <c r="BP22" s="218"/>
    </row>
    <row r="23" spans="2:68" ht="15.75" x14ac:dyDescent="0.25">
      <c r="B23" s="305" t="s">
        <v>285</v>
      </c>
      <c r="C23" s="366" t="e">
        <f>IF(C12=AK107,0,VLOOKUP(C13,B110:F112,5,FALSE))</f>
        <v>#N/A</v>
      </c>
      <c r="D23" s="306" t="s">
        <v>115</v>
      </c>
      <c r="E23" s="237" t="e">
        <f>C23/12</f>
        <v>#N/A</v>
      </c>
      <c r="F23" s="232" t="s">
        <v>109</v>
      </c>
      <c r="G23" s="245"/>
      <c r="H23" s="246"/>
      <c r="I23" s="58"/>
      <c r="J23" s="58"/>
      <c r="X23" s="199" t="s">
        <v>275</v>
      </c>
      <c r="Y23" s="274">
        <f>E10</f>
        <v>0</v>
      </c>
      <c r="Z23" s="275">
        <f>'Full Roll'!J34</f>
        <v>9.9741599999999995</v>
      </c>
      <c r="AB23" s="275">
        <f>'Full Roll'!L34</f>
        <v>7.9793279999999998</v>
      </c>
      <c r="AS23" s="199"/>
      <c r="AT23" s="199"/>
      <c r="AU23" s="218"/>
      <c r="AV23" s="210"/>
      <c r="AW23" s="210"/>
      <c r="AX23" s="210"/>
      <c r="AY23" s="242"/>
      <c r="AZ23"/>
      <c r="BA23" s="245"/>
      <c r="BB23" s="246"/>
      <c r="BC23" s="285"/>
      <c r="BD23" s="286"/>
      <c r="BE23" s="286"/>
      <c r="BF23" s="286"/>
      <c r="BG23" s="286"/>
      <c r="BH23" s="287"/>
      <c r="BI23" s="280"/>
      <c r="BJ23" s="276"/>
      <c r="BK23" s="218"/>
    </row>
    <row r="24" spans="2:68" ht="15.75" x14ac:dyDescent="0.25">
      <c r="B24" s="307" t="s">
        <v>281</v>
      </c>
      <c r="C24" s="366" t="e">
        <f>(C23*C10)</f>
        <v>#N/A</v>
      </c>
      <c r="D24" s="306" t="s">
        <v>115</v>
      </c>
      <c r="E24" s="237" t="e">
        <f>E23*C10</f>
        <v>#N/A</v>
      </c>
      <c r="F24" s="232" t="s">
        <v>109</v>
      </c>
      <c r="G24" s="210"/>
      <c r="H24" s="227"/>
      <c r="J24" s="212"/>
      <c r="X24" s="199" t="s">
        <v>295</v>
      </c>
      <c r="Y24" s="274">
        <f t="shared" si="2"/>
        <v>0.78411199999999992</v>
      </c>
      <c r="Z24" s="275">
        <f>'Full Roll'!J7</f>
        <v>0.9801399999999999</v>
      </c>
      <c r="AB24" s="275">
        <f>'Full Roll'!L7</f>
        <v>0.78411199999999992</v>
      </c>
      <c r="AS24" s="199"/>
      <c r="AT24" s="199"/>
      <c r="AU24" s="218"/>
      <c r="AV24" s="210"/>
      <c r="AW24" s="210"/>
      <c r="AX24" s="210"/>
      <c r="AY24" s="242"/>
      <c r="AZ24"/>
      <c r="BA24" s="245"/>
      <c r="BB24" s="246"/>
      <c r="BC24" s="285"/>
      <c r="BD24" s="286"/>
      <c r="BE24" s="286"/>
      <c r="BF24" s="286"/>
      <c r="BG24" s="286"/>
      <c r="BH24" s="287"/>
      <c r="BI24" s="280"/>
      <c r="BJ24" s="276"/>
      <c r="BK24" s="218"/>
    </row>
    <row r="25" spans="2:68" ht="15.75" x14ac:dyDescent="0.25">
      <c r="B25" s="279"/>
      <c r="C25" s="309" t="str">
        <f>IF(I99=I100,I102,"")</f>
        <v/>
      </c>
      <c r="E25" s="212"/>
      <c r="F25" s="232"/>
      <c r="G25" s="245"/>
      <c r="H25" s="246"/>
      <c r="J25" s="215"/>
      <c r="AH25" s="201" t="s">
        <v>179</v>
      </c>
      <c r="AJ25" s="259">
        <v>4.63</v>
      </c>
      <c r="AK25" s="259">
        <f>(AL25+AJ25)/2</f>
        <v>5.8765384615384608</v>
      </c>
      <c r="AL25" s="259">
        <f>AJ25/0.65</f>
        <v>7.1230769230769226</v>
      </c>
      <c r="AM25" s="201">
        <v>1.2</v>
      </c>
      <c r="AN25" s="201">
        <v>100</v>
      </c>
      <c r="AO25" s="260">
        <v>4.72</v>
      </c>
      <c r="AS25" s="199"/>
      <c r="AT25" s="199"/>
      <c r="AU25" s="218"/>
      <c r="AV25" s="210"/>
      <c r="AW25" s="210"/>
      <c r="AX25" s="210"/>
      <c r="AY25" s="242"/>
      <c r="AZ25"/>
      <c r="BA25" s="245"/>
      <c r="BB25" s="246"/>
      <c r="BC25" s="285"/>
      <c r="BD25" s="286"/>
      <c r="BE25" s="286"/>
      <c r="BF25" s="286"/>
      <c r="BG25" s="286"/>
      <c r="BH25" s="287"/>
      <c r="BI25" s="280"/>
      <c r="BJ25" s="276"/>
      <c r="BK25" s="218"/>
    </row>
    <row r="26" spans="2:68" ht="15.75" x14ac:dyDescent="0.25">
      <c r="B26" s="279" t="s">
        <v>181</v>
      </c>
      <c r="C26" s="367" t="e">
        <f>$C$20*$C$114</f>
        <v>#N/A</v>
      </c>
      <c r="D26" s="212" t="s">
        <v>182</v>
      </c>
      <c r="E26" s="212"/>
      <c r="F26" s="232"/>
      <c r="G26" s="245"/>
      <c r="H26" s="246"/>
      <c r="AH26" s="201" t="s">
        <v>180</v>
      </c>
      <c r="AJ26" s="259">
        <v>5.57</v>
      </c>
      <c r="AK26" s="259">
        <f>(AL26+AJ26)/2</f>
        <v>7.0696153846153846</v>
      </c>
      <c r="AL26" s="259">
        <f>AJ26/0.65</f>
        <v>8.569230769230769</v>
      </c>
      <c r="AM26" s="201">
        <v>1.65</v>
      </c>
      <c r="AN26" s="201">
        <v>100</v>
      </c>
      <c r="AO26" s="260">
        <v>4.72</v>
      </c>
      <c r="AZ26"/>
      <c r="BA26" s="210"/>
      <c r="BB26" s="210"/>
      <c r="BC26" s="210"/>
      <c r="BD26" s="242"/>
      <c r="BE26" s="227"/>
      <c r="BF26" s="245"/>
      <c r="BG26" s="246"/>
      <c r="BH26" s="285"/>
      <c r="BI26" s="286"/>
      <c r="BJ26" s="286"/>
      <c r="BK26" s="286"/>
      <c r="BL26" s="286"/>
      <c r="BM26" s="287"/>
      <c r="BN26" s="280"/>
      <c r="BO26" s="276"/>
      <c r="BP26" s="218"/>
    </row>
    <row r="27" spans="2:68" ht="15.75" x14ac:dyDescent="0.25">
      <c r="B27" s="279" t="s">
        <v>184</v>
      </c>
      <c r="C27" s="367" t="e">
        <f>$C$115*$C$23/12</f>
        <v>#N/A</v>
      </c>
      <c r="D27" s="212" t="s">
        <v>182</v>
      </c>
      <c r="E27" s="212"/>
      <c r="F27" s="232"/>
      <c r="G27" s="245"/>
      <c r="H27" s="246"/>
      <c r="AJ27" s="259"/>
      <c r="AK27" s="259"/>
      <c r="AL27" s="259"/>
      <c r="AO27" s="260"/>
      <c r="AZ27"/>
      <c r="BA27" s="210"/>
      <c r="BB27" s="210"/>
      <c r="BC27" s="210"/>
      <c r="BD27" s="242"/>
      <c r="BE27" s="227"/>
      <c r="BF27" s="245"/>
      <c r="BG27" s="246"/>
      <c r="BH27" s="285"/>
      <c r="BI27" s="286"/>
      <c r="BJ27" s="286"/>
      <c r="BK27" s="286"/>
      <c r="BL27" s="286"/>
      <c r="BM27" s="287"/>
      <c r="BN27" s="280"/>
      <c r="BO27" s="276"/>
      <c r="BP27" s="218"/>
    </row>
    <row r="28" spans="2:68" ht="15.75" x14ac:dyDescent="0.25">
      <c r="B28" s="279" t="s">
        <v>293</v>
      </c>
      <c r="C28" s="368">
        <f>IF(C14="yes",20,0)</f>
        <v>0</v>
      </c>
      <c r="D28" s="212" t="s">
        <v>182</v>
      </c>
      <c r="E28" s="212"/>
      <c r="F28" s="232"/>
      <c r="G28" s="245"/>
      <c r="H28" s="246"/>
      <c r="AJ28" s="259"/>
      <c r="AK28" s="259"/>
      <c r="AL28" s="259"/>
      <c r="AO28" s="260"/>
      <c r="AZ28"/>
      <c r="BA28" s="210"/>
      <c r="BB28" s="210"/>
      <c r="BC28" s="210"/>
      <c r="BD28" s="242"/>
      <c r="BE28" s="227"/>
      <c r="BF28" s="210"/>
      <c r="BG28" s="227"/>
      <c r="BH28" s="285"/>
      <c r="BI28" s="286"/>
      <c r="BJ28" s="286"/>
      <c r="BK28" s="286"/>
      <c r="BL28" s="286"/>
      <c r="BM28" s="287"/>
      <c r="BN28" s="280"/>
      <c r="BO28" s="276"/>
      <c r="BP28" s="218"/>
    </row>
    <row r="29" spans="2:68" ht="15.75" x14ac:dyDescent="0.25">
      <c r="B29" s="308" t="s">
        <v>309</v>
      </c>
      <c r="C29" s="369" t="e">
        <f>SUM(C26:C28)</f>
        <v>#N/A</v>
      </c>
      <c r="D29" s="309" t="s">
        <v>182</v>
      </c>
      <c r="E29" s="212"/>
      <c r="F29" s="232"/>
      <c r="G29" s="245"/>
      <c r="H29" s="246"/>
      <c r="AJ29" s="259"/>
      <c r="AK29" s="259"/>
      <c r="AL29" s="259"/>
      <c r="AO29" s="260"/>
      <c r="AZ29"/>
      <c r="BA29" s="210"/>
      <c r="BB29" s="210"/>
      <c r="BC29" s="210"/>
      <c r="BD29" s="242"/>
      <c r="BE29" s="227"/>
      <c r="BF29" s="245"/>
      <c r="BG29" s="246"/>
      <c r="BH29" s="285"/>
      <c r="BI29" s="286"/>
      <c r="BJ29" s="286"/>
      <c r="BK29" s="286"/>
      <c r="BL29" s="286"/>
      <c r="BM29" s="287"/>
      <c r="BN29" s="280"/>
      <c r="BO29" s="276"/>
      <c r="BP29" s="218"/>
    </row>
    <row r="30" spans="2:68" ht="15" x14ac:dyDescent="0.25">
      <c r="B30" s="308" t="s">
        <v>186</v>
      </c>
      <c r="C30" s="369" t="e">
        <f>SUM(C26:C28)*C10</f>
        <v>#N/A</v>
      </c>
      <c r="D30" s="309" t="s">
        <v>182</v>
      </c>
      <c r="E30" s="212"/>
      <c r="F30" s="232"/>
      <c r="G30" s="210"/>
      <c r="H30" s="227"/>
      <c r="I30" s="247"/>
      <c r="J30" s="212"/>
      <c r="AJ30" s="259"/>
      <c r="AK30" s="259"/>
      <c r="AL30" s="259"/>
      <c r="AO30" s="260"/>
      <c r="AZ30" s="218"/>
      <c r="BA30" s="210"/>
      <c r="BB30" s="210"/>
      <c r="BC30" s="210"/>
      <c r="BD30" s="242"/>
      <c r="BE30" s="227"/>
      <c r="BF30" s="245"/>
      <c r="BG30" s="246"/>
      <c r="BH30" s="285"/>
      <c r="BI30" s="286"/>
      <c r="BJ30" s="286"/>
      <c r="BK30" s="286"/>
      <c r="BL30" s="286"/>
      <c r="BM30" s="287"/>
      <c r="BN30" s="280"/>
      <c r="BO30" s="276"/>
      <c r="BP30" s="218"/>
    </row>
    <row r="31" spans="2:68" ht="15" x14ac:dyDescent="0.25">
      <c r="B31" s="224"/>
      <c r="C31" s="218"/>
      <c r="D31" s="218"/>
      <c r="E31" s="218"/>
      <c r="F31" s="310"/>
      <c r="G31" s="210"/>
      <c r="H31" s="227"/>
      <c r="I31" s="247"/>
      <c r="J31" s="212"/>
      <c r="X31" s="199" t="s">
        <v>298</v>
      </c>
      <c r="AJ31" s="259"/>
      <c r="AK31" s="259"/>
      <c r="AL31" s="259"/>
      <c r="AO31" s="260"/>
      <c r="AZ31" s="218"/>
      <c r="BA31" s="210"/>
      <c r="BB31" s="210"/>
      <c r="BC31" s="210"/>
      <c r="BD31" s="242"/>
      <c r="BE31" s="227"/>
      <c r="BF31" s="245"/>
      <c r="BG31" s="246"/>
      <c r="BH31" s="285"/>
      <c r="BI31" s="286"/>
      <c r="BJ31" s="286"/>
      <c r="BK31" s="286"/>
      <c r="BL31" s="286"/>
      <c r="BM31" s="287"/>
      <c r="BN31" s="280"/>
      <c r="BO31" s="276"/>
      <c r="BP31" s="218"/>
    </row>
    <row r="32" spans="2:68" ht="15.75" thickBot="1" x14ac:dyDescent="0.3">
      <c r="B32" s="279"/>
      <c r="C32" s="373"/>
      <c r="D32" s="348"/>
      <c r="E32" s="348"/>
      <c r="F32" s="349"/>
      <c r="G32" s="245"/>
      <c r="H32" s="246"/>
      <c r="I32" s="247"/>
      <c r="J32" s="212"/>
      <c r="X32" s="247" t="b">
        <f>IF(C14="yes",80)</f>
        <v>0</v>
      </c>
      <c r="AJ32" s="259"/>
      <c r="AK32" s="259"/>
      <c r="AL32" s="259"/>
      <c r="AO32" s="260"/>
      <c r="AZ32" s="218"/>
      <c r="BA32" s="210"/>
      <c r="BB32" s="210"/>
      <c r="BC32" s="210"/>
      <c r="BD32" s="242"/>
      <c r="BE32" s="227"/>
      <c r="BF32" s="245"/>
      <c r="BG32" s="246"/>
      <c r="BH32" s="285"/>
      <c r="BI32" s="286"/>
      <c r="BJ32" s="286"/>
      <c r="BK32" s="286"/>
      <c r="BL32" s="286"/>
      <c r="BM32" s="287"/>
      <c r="BN32" s="280"/>
      <c r="BO32" s="276"/>
      <c r="BP32" s="218"/>
    </row>
    <row r="33" spans="2:68" ht="20.25" x14ac:dyDescent="0.3">
      <c r="B33" s="346"/>
      <c r="C33" s="347">
        <f>C8</f>
        <v>0</v>
      </c>
      <c r="D33" s="352" t="s">
        <v>229</v>
      </c>
      <c r="E33" s="352" t="s">
        <v>230</v>
      </c>
      <c r="F33" s="349"/>
      <c r="G33" s="245"/>
      <c r="H33" s="246"/>
      <c r="I33" s="247"/>
      <c r="J33" s="212"/>
      <c r="X33" s="355">
        <f>IF(C12="Galvanized Angle",AL103,IF(C12="Quickmount MD",AL104,IF(C12="Quickmount HD",AL105,IF(C12="C Channel",AL106,IF(C12="no mounting",AL107)))))*C10</f>
        <v>0</v>
      </c>
      <c r="AJ33" s="259"/>
      <c r="AK33" s="259"/>
      <c r="AL33" s="259"/>
      <c r="AO33" s="260"/>
      <c r="AZ33" s="218"/>
      <c r="BA33" s="210"/>
      <c r="BB33" s="210"/>
      <c r="BC33" s="210"/>
      <c r="BD33" s="242"/>
      <c r="BE33" s="227"/>
      <c r="BF33" s="245"/>
      <c r="BG33" s="246"/>
      <c r="BH33" s="285"/>
      <c r="BI33" s="286"/>
      <c r="BJ33" s="286"/>
      <c r="BK33" s="286"/>
      <c r="BL33" s="286"/>
      <c r="BM33" s="287"/>
      <c r="BN33" s="280"/>
      <c r="BO33" s="276"/>
      <c r="BP33" s="218"/>
    </row>
    <row r="34" spans="2:68" ht="20.25" x14ac:dyDescent="0.3">
      <c r="B34" s="350"/>
      <c r="C34" s="351">
        <f>C9</f>
        <v>0</v>
      </c>
      <c r="D34" s="374" t="e">
        <f>_xlfn.SWITCH(C9,X10,Y10,X11,Y11,X12,Y12,X13,Y13,X14,Y14,X15,Y15,X16,Y16,X17,Y17,X18,Y18,X19,Y19,X20,Y20,X21,Y21,X22,Y22,X23,IF(ISNUMBER(Y23),Y23,W19),X24,Y24)</f>
        <v>#N/A</v>
      </c>
      <c r="E34" s="355" t="e">
        <f>C35*D34</f>
        <v>#N/A</v>
      </c>
      <c r="F34" s="349"/>
      <c r="G34" s="245"/>
      <c r="H34" s="246"/>
      <c r="J34" s="212"/>
      <c r="L34" s="201"/>
      <c r="N34" s="201"/>
      <c r="AJ34" s="259"/>
      <c r="AK34" s="259"/>
      <c r="AL34" s="259"/>
      <c r="AO34" s="260"/>
      <c r="AZ34" s="218"/>
      <c r="BA34" s="210"/>
      <c r="BB34" s="210"/>
      <c r="BC34" s="210"/>
      <c r="BD34" s="242"/>
      <c r="BE34" s="227"/>
      <c r="BF34" s="210"/>
      <c r="BG34" s="227"/>
      <c r="BH34" s="285"/>
      <c r="BI34" s="286"/>
      <c r="BJ34" s="286"/>
      <c r="BK34" s="286"/>
      <c r="BL34" s="286"/>
      <c r="BM34" s="287"/>
      <c r="BN34" s="280"/>
      <c r="BO34" s="276"/>
      <c r="BP34" s="218"/>
    </row>
    <row r="35" spans="2:68" ht="21" thickBot="1" x14ac:dyDescent="0.35">
      <c r="B35" s="353" t="s">
        <v>152</v>
      </c>
      <c r="C35" s="354" t="e">
        <f>C19*C21/12*C10</f>
        <v>#N/A</v>
      </c>
      <c r="D35" s="377" t="s">
        <v>298</v>
      </c>
      <c r="E35" s="355">
        <f>X33+X32</f>
        <v>0</v>
      </c>
      <c r="F35" s="359"/>
      <c r="G35" s="210"/>
      <c r="H35" s="227"/>
      <c r="J35" s="212"/>
      <c r="K35" s="199"/>
      <c r="N35" s="201"/>
      <c r="AJ35" s="259"/>
      <c r="AK35" s="259"/>
      <c r="AL35" s="259"/>
      <c r="AO35" s="260"/>
      <c r="AZ35" s="218"/>
      <c r="BA35" s="210"/>
      <c r="BB35" s="210"/>
      <c r="BC35" s="210"/>
      <c r="BD35" s="242"/>
      <c r="BE35" s="227"/>
      <c r="BF35" s="210"/>
      <c r="BG35" s="227"/>
      <c r="BH35" s="285"/>
      <c r="BI35" s="286"/>
      <c r="BJ35" s="286"/>
      <c r="BK35" s="286"/>
      <c r="BL35" s="286"/>
      <c r="BM35" s="287"/>
      <c r="BN35" s="280"/>
      <c r="BO35" s="276"/>
      <c r="BP35" s="218"/>
    </row>
    <row r="36" spans="2:68" ht="21" thickBot="1" x14ac:dyDescent="0.35">
      <c r="B36" s="356" t="s">
        <v>156</v>
      </c>
      <c r="C36" s="357" t="e">
        <f>C35/C117</f>
        <v>#N/A</v>
      </c>
      <c r="D36" s="358" t="s">
        <v>290</v>
      </c>
      <c r="E36" s="372" t="e">
        <f>(E35+E34)/C10</f>
        <v>#N/A</v>
      </c>
      <c r="F36" s="359"/>
      <c r="G36" s="210"/>
      <c r="H36" s="227"/>
      <c r="J36" s="251"/>
      <c r="K36" s="251"/>
      <c r="AJ36" s="259"/>
      <c r="AK36" s="259"/>
      <c r="AL36" s="259"/>
      <c r="AO36" s="260"/>
      <c r="AZ36" s="218"/>
      <c r="BA36" s="210"/>
      <c r="BB36" s="210"/>
      <c r="BC36" s="210"/>
      <c r="BD36" s="242"/>
      <c r="BE36" s="227"/>
      <c r="BF36" s="245"/>
      <c r="BG36" s="246"/>
      <c r="BH36" s="285"/>
      <c r="BI36" s="286"/>
      <c r="BJ36" s="286"/>
      <c r="BK36" s="286"/>
      <c r="BL36" s="286"/>
      <c r="BM36" s="287"/>
      <c r="BN36" s="280"/>
      <c r="BO36" s="276"/>
      <c r="BP36" s="218"/>
    </row>
    <row r="37" spans="2:68" ht="21" thickBot="1" x14ac:dyDescent="0.35">
      <c r="B37" s="360"/>
      <c r="C37" s="361"/>
      <c r="D37" s="362" t="s">
        <v>291</v>
      </c>
      <c r="E37" s="370" t="e">
        <f>E36*C10</f>
        <v>#N/A</v>
      </c>
      <c r="F37" s="363"/>
      <c r="G37" s="210"/>
      <c r="H37" s="227"/>
      <c r="J37" s="251"/>
      <c r="K37" s="251"/>
      <c r="AJ37" s="259"/>
      <c r="AK37" s="259"/>
      <c r="AL37" s="259"/>
      <c r="AO37" s="260"/>
      <c r="AZ37" s="218"/>
      <c r="BA37" s="210"/>
      <c r="BB37" s="210"/>
      <c r="BC37" s="210"/>
      <c r="BD37" s="242"/>
      <c r="BE37" s="227"/>
      <c r="BF37" s="245"/>
      <c r="BG37" s="246"/>
      <c r="BH37" s="285"/>
      <c r="BI37" s="286"/>
      <c r="BJ37" s="286"/>
      <c r="BK37" s="286"/>
      <c r="BL37" s="286"/>
      <c r="BM37" s="287"/>
      <c r="BN37" s="280"/>
      <c r="BO37" s="276"/>
      <c r="BP37" s="218"/>
    </row>
    <row r="38" spans="2:68" ht="15" x14ac:dyDescent="0.25">
      <c r="C38" s="199"/>
      <c r="G38" s="210"/>
      <c r="H38" s="227"/>
      <c r="J38" s="251"/>
      <c r="K38" s="251"/>
      <c r="AJ38" s="259"/>
      <c r="AK38" s="259"/>
      <c r="AL38" s="259"/>
      <c r="AO38" s="260"/>
      <c r="AZ38" s="218"/>
      <c r="BA38" s="210"/>
      <c r="BB38" s="210"/>
      <c r="BC38" s="210"/>
      <c r="BD38" s="242"/>
      <c r="BE38" s="227"/>
      <c r="BF38" s="245"/>
      <c r="BG38" s="246"/>
      <c r="BH38" s="285"/>
      <c r="BI38" s="286"/>
      <c r="BJ38" s="286"/>
      <c r="BK38" s="286"/>
      <c r="BL38" s="286"/>
      <c r="BM38" s="287"/>
      <c r="BN38" s="280"/>
      <c r="BO38" s="276"/>
      <c r="BP38" s="218"/>
    </row>
    <row r="39" spans="2:68" ht="15" x14ac:dyDescent="0.25">
      <c r="C39" s="199"/>
      <c r="G39" s="245"/>
      <c r="H39" s="246"/>
      <c r="J39" s="251"/>
      <c r="AJ39" s="259"/>
      <c r="AK39" s="259"/>
      <c r="AL39" s="259"/>
      <c r="AO39" s="260"/>
      <c r="AZ39" s="218"/>
      <c r="BA39" s="210"/>
      <c r="BB39" s="210"/>
      <c r="BC39" s="210"/>
      <c r="BD39" s="242"/>
      <c r="BE39" s="227"/>
      <c r="BF39" s="245"/>
      <c r="BG39" s="246"/>
      <c r="BH39" s="285"/>
      <c r="BI39" s="286"/>
      <c r="BJ39" s="286"/>
      <c r="BK39" s="286"/>
      <c r="BL39" s="286"/>
      <c r="BM39" s="287"/>
      <c r="BN39" s="280"/>
      <c r="BO39" s="276"/>
      <c r="BP39" s="218"/>
    </row>
    <row r="40" spans="2:68" ht="20.25" x14ac:dyDescent="0.3">
      <c r="B40" s="420" t="s">
        <v>100</v>
      </c>
      <c r="C40" s="420"/>
      <c r="D40" s="420"/>
      <c r="E40" s="420"/>
      <c r="F40" s="420"/>
      <c r="G40" s="245"/>
      <c r="H40" s="246"/>
      <c r="J40" s="251"/>
      <c r="K40" s="251"/>
      <c r="AJ40" s="259"/>
      <c r="AK40" s="259"/>
      <c r="AL40" s="259"/>
      <c r="AO40" s="260"/>
      <c r="AZ40" s="218"/>
      <c r="BA40" s="210"/>
      <c r="BB40" s="210"/>
      <c r="BC40" s="210"/>
      <c r="BD40" s="242"/>
      <c r="BE40" s="227"/>
      <c r="BF40" s="210"/>
      <c r="BG40" s="227"/>
      <c r="BH40" s="285"/>
      <c r="BI40" s="286"/>
      <c r="BJ40" s="286"/>
      <c r="BK40" s="286"/>
      <c r="BL40" s="286"/>
      <c r="BM40" s="287"/>
      <c r="BN40" s="280"/>
      <c r="BO40" s="276"/>
      <c r="BP40" s="218"/>
    </row>
    <row r="41" spans="2:68" ht="15" x14ac:dyDescent="0.25">
      <c r="AJ41" s="259"/>
      <c r="AK41" s="259"/>
      <c r="AL41" s="259"/>
      <c r="AO41" s="260"/>
      <c r="AZ41" s="218"/>
      <c r="BA41" s="210"/>
      <c r="BB41" s="210"/>
      <c r="BC41" s="210"/>
      <c r="BD41" s="242"/>
      <c r="BE41" s="227"/>
      <c r="BF41" s="210"/>
      <c r="BG41" s="227"/>
      <c r="BH41" s="285"/>
      <c r="BI41" s="286"/>
      <c r="BJ41" s="286"/>
      <c r="BK41" s="286"/>
      <c r="BL41" s="286"/>
      <c r="BM41" s="287"/>
      <c r="BN41" s="280"/>
      <c r="BO41" s="276"/>
      <c r="BP41" s="218"/>
    </row>
    <row r="42" spans="2:68" ht="15" x14ac:dyDescent="0.25">
      <c r="AH42" s="201" t="s">
        <v>297</v>
      </c>
      <c r="AJ42" s="201">
        <v>0</v>
      </c>
      <c r="AK42" s="201">
        <v>0</v>
      </c>
      <c r="AL42" s="201">
        <v>0</v>
      </c>
      <c r="AZ42" s="218"/>
      <c r="BA42" s="210"/>
      <c r="BB42" s="210"/>
      <c r="BC42" s="210"/>
      <c r="BD42" s="242"/>
      <c r="BE42" s="227"/>
      <c r="BF42" s="245"/>
      <c r="BG42" s="246"/>
      <c r="BH42" s="285"/>
      <c r="BI42" s="286"/>
      <c r="BJ42" s="286"/>
      <c r="BK42" s="286"/>
      <c r="BL42" s="286"/>
      <c r="BM42" s="287"/>
      <c r="BN42" s="280"/>
      <c r="BO42" s="276"/>
      <c r="BP42" s="218"/>
    </row>
    <row r="43" spans="2:68" ht="15" x14ac:dyDescent="0.25">
      <c r="AH43" s="201" t="s">
        <v>296</v>
      </c>
      <c r="AJ43" s="201">
        <v>40</v>
      </c>
      <c r="AK43" s="201">
        <v>40</v>
      </c>
      <c r="AL43" s="201">
        <v>40</v>
      </c>
      <c r="AZ43" s="218"/>
      <c r="BA43" s="210"/>
      <c r="BB43" s="210"/>
      <c r="BC43" s="210"/>
      <c r="BD43" s="242"/>
      <c r="BE43" s="227"/>
      <c r="BF43" s="245"/>
      <c r="BG43" s="246"/>
      <c r="BH43" s="285"/>
      <c r="BI43" s="286"/>
      <c r="BJ43" s="286"/>
      <c r="BK43" s="286"/>
      <c r="BL43" s="286"/>
      <c r="BM43" s="287"/>
      <c r="BN43" s="280"/>
      <c r="BO43" s="276"/>
      <c r="BP43" s="218"/>
    </row>
    <row r="44" spans="2:68" ht="15" x14ac:dyDescent="0.25">
      <c r="AZ44" s="218"/>
      <c r="BA44" s="210"/>
      <c r="BB44" s="210"/>
      <c r="BC44" s="210"/>
      <c r="BD44" s="242"/>
      <c r="BE44" s="227"/>
      <c r="BF44" s="245"/>
      <c r="BG44" s="246"/>
      <c r="BH44" s="285"/>
      <c r="BI44" s="286"/>
      <c r="BJ44" s="286"/>
      <c r="BK44" s="286"/>
      <c r="BL44" s="286"/>
      <c r="BM44" s="287"/>
      <c r="BN44" s="280"/>
      <c r="BO44" s="276"/>
      <c r="BP44" s="218"/>
    </row>
    <row r="45" spans="2:68" ht="15" x14ac:dyDescent="0.25">
      <c r="AZ45" s="218"/>
      <c r="BA45" s="210"/>
      <c r="BB45" s="210"/>
      <c r="BC45" s="210"/>
      <c r="BD45" s="242"/>
      <c r="BE45" s="227"/>
      <c r="BF45" s="210"/>
      <c r="BG45" s="227"/>
      <c r="BH45" s="285"/>
      <c r="BI45" s="286"/>
      <c r="BJ45" s="286"/>
      <c r="BK45" s="286"/>
      <c r="BL45" s="286"/>
      <c r="BM45" s="287"/>
      <c r="BN45" s="280"/>
      <c r="BO45" s="276"/>
      <c r="BP45" s="218"/>
    </row>
    <row r="46" spans="2:68" ht="15" x14ac:dyDescent="0.25">
      <c r="AZ46" s="218"/>
      <c r="BA46" s="210"/>
      <c r="BB46" s="210"/>
      <c r="BC46" s="210"/>
      <c r="BD46" s="242"/>
      <c r="BE46" s="227"/>
      <c r="BF46" s="245"/>
      <c r="BG46" s="246"/>
      <c r="BH46" s="285"/>
      <c r="BI46" s="286"/>
      <c r="BJ46" s="286"/>
      <c r="BK46" s="286"/>
      <c r="BL46" s="286"/>
      <c r="BM46" s="287"/>
      <c r="BN46" s="280"/>
      <c r="BO46" s="276"/>
      <c r="BP46" s="218"/>
    </row>
    <row r="47" spans="2:68" ht="15" x14ac:dyDescent="0.25">
      <c r="AZ47" s="218"/>
      <c r="BA47" s="210"/>
      <c r="BB47" s="210"/>
      <c r="BC47" s="210"/>
      <c r="BD47" s="242"/>
      <c r="BE47" s="227"/>
      <c r="BF47" s="210"/>
      <c r="BG47" s="227"/>
      <c r="BH47" s="285"/>
      <c r="BI47" s="286"/>
      <c r="BJ47" s="286"/>
      <c r="BK47" s="286"/>
      <c r="BL47" s="286"/>
      <c r="BM47" s="287"/>
      <c r="BN47" s="280"/>
      <c r="BO47" s="276"/>
      <c r="BP47" s="218"/>
    </row>
    <row r="48" spans="2:68" ht="15" x14ac:dyDescent="0.25">
      <c r="AZ48" s="218"/>
      <c r="BA48" s="210"/>
      <c r="BB48" s="210"/>
      <c r="BC48" s="210"/>
      <c r="BD48" s="242"/>
      <c r="BE48" s="227"/>
      <c r="BF48" s="245"/>
      <c r="BG48" s="246"/>
      <c r="BH48" s="285"/>
      <c r="BI48" s="286"/>
      <c r="BJ48" s="286"/>
      <c r="BK48" s="286"/>
      <c r="BL48" s="286"/>
      <c r="BM48" s="287"/>
      <c r="BN48" s="280"/>
      <c r="BO48" s="276"/>
      <c r="BP48" s="218"/>
    </row>
    <row r="49" spans="52:68" ht="15" x14ac:dyDescent="0.25">
      <c r="AZ49" s="218"/>
      <c r="BA49" s="210"/>
      <c r="BB49" s="210"/>
      <c r="BC49" s="210"/>
      <c r="BD49" s="242"/>
      <c r="BE49" s="227"/>
      <c r="BF49" s="245"/>
      <c r="BG49" s="246"/>
      <c r="BH49" s="285"/>
      <c r="BI49" s="286"/>
      <c r="BJ49" s="286"/>
      <c r="BK49" s="286"/>
      <c r="BL49" s="286"/>
      <c r="BM49" s="287"/>
      <c r="BN49" s="280"/>
      <c r="BO49" s="276"/>
      <c r="BP49" s="218"/>
    </row>
    <row r="50" spans="52:68" ht="15" x14ac:dyDescent="0.25">
      <c r="AZ50" s="218"/>
      <c r="BA50" s="210"/>
      <c r="BB50" s="210"/>
      <c r="BC50" s="210"/>
      <c r="BD50" s="242"/>
      <c r="BE50" s="227"/>
      <c r="BF50" s="245"/>
      <c r="BG50" s="246"/>
      <c r="BH50" s="285"/>
      <c r="BI50" s="286"/>
      <c r="BJ50" s="286"/>
      <c r="BK50" s="286"/>
      <c r="BL50" s="286"/>
      <c r="BM50" s="287"/>
      <c r="BN50" s="280"/>
      <c r="BO50" s="276"/>
      <c r="BP50" s="218"/>
    </row>
    <row r="51" spans="52:68" ht="15" x14ac:dyDescent="0.25">
      <c r="AZ51" s="218"/>
      <c r="BA51" s="210"/>
      <c r="BB51" s="210"/>
      <c r="BC51" s="210"/>
      <c r="BD51" s="242"/>
      <c r="BE51" s="227"/>
      <c r="BF51" s="245"/>
      <c r="BG51" s="246"/>
      <c r="BH51" s="285"/>
      <c r="BI51" s="286"/>
      <c r="BJ51" s="286"/>
      <c r="BK51" s="286"/>
      <c r="BL51" s="286"/>
      <c r="BM51" s="287"/>
      <c r="BN51" s="280"/>
      <c r="BO51" s="276"/>
      <c r="BP51" s="218"/>
    </row>
    <row r="52" spans="52:68" ht="15" x14ac:dyDescent="0.25">
      <c r="AZ52" s="218"/>
      <c r="BA52" s="210"/>
      <c r="BB52" s="210"/>
      <c r="BC52" s="210"/>
      <c r="BD52" s="242"/>
      <c r="BE52" s="227"/>
      <c r="BF52" s="245"/>
      <c r="BG52" s="246"/>
      <c r="BH52" s="285"/>
      <c r="BI52" s="286"/>
      <c r="BJ52" s="286"/>
      <c r="BK52" s="286"/>
      <c r="BL52" s="286"/>
      <c r="BM52" s="287"/>
      <c r="BN52" s="280"/>
      <c r="BO52" s="276"/>
      <c r="BP52" s="218"/>
    </row>
    <row r="53" spans="52:68" ht="15" x14ac:dyDescent="0.25">
      <c r="AZ53" s="218"/>
      <c r="BA53" s="210"/>
      <c r="BB53" s="210"/>
      <c r="BC53" s="210"/>
      <c r="BD53" s="242"/>
      <c r="BE53" s="227"/>
      <c r="BF53" s="245"/>
      <c r="BG53" s="246"/>
      <c r="BH53" s="285"/>
      <c r="BI53" s="286"/>
      <c r="BJ53" s="286"/>
      <c r="BK53" s="286"/>
      <c r="BL53" s="286"/>
      <c r="BM53" s="287"/>
      <c r="BN53" s="280"/>
      <c r="BO53" s="276"/>
      <c r="BP53" s="218"/>
    </row>
    <row r="54" spans="52:68" ht="15" x14ac:dyDescent="0.25">
      <c r="AZ54" s="218"/>
      <c r="BA54" s="210"/>
      <c r="BB54" s="210"/>
      <c r="BC54" s="210"/>
      <c r="BD54" s="242"/>
      <c r="BE54" s="227"/>
      <c r="BF54" s="245"/>
      <c r="BG54" s="246"/>
      <c r="BH54" s="285"/>
      <c r="BI54" s="286"/>
      <c r="BJ54" s="286"/>
      <c r="BK54" s="286"/>
      <c r="BL54" s="286"/>
      <c r="BM54" s="287"/>
      <c r="BN54" s="280"/>
      <c r="BO54" s="276"/>
      <c r="BP54" s="218"/>
    </row>
    <row r="55" spans="52:68" ht="15" x14ac:dyDescent="0.25">
      <c r="AZ55" s="218"/>
      <c r="BA55" s="210"/>
      <c r="BB55" s="210"/>
      <c r="BC55" s="210"/>
      <c r="BD55" s="242"/>
      <c r="BE55" s="227"/>
      <c r="BF55" s="245"/>
      <c r="BG55" s="246"/>
      <c r="BH55" s="285"/>
      <c r="BI55" s="286"/>
      <c r="BJ55" s="286"/>
      <c r="BK55" s="286"/>
      <c r="BL55" s="286"/>
      <c r="BM55" s="287"/>
      <c r="BN55" s="280"/>
      <c r="BO55" s="276"/>
      <c r="BP55" s="218"/>
    </row>
    <row r="56" spans="52:68" ht="15" x14ac:dyDescent="0.25">
      <c r="AZ56" s="218"/>
      <c r="BA56" s="210"/>
      <c r="BB56" s="210"/>
      <c r="BC56" s="210"/>
      <c r="BD56" s="242"/>
      <c r="BE56" s="227"/>
      <c r="BF56" s="245"/>
      <c r="BG56" s="246"/>
      <c r="BH56" s="285"/>
      <c r="BI56" s="286"/>
      <c r="BJ56" s="286"/>
      <c r="BK56" s="286"/>
      <c r="BL56" s="286"/>
      <c r="BM56" s="287"/>
      <c r="BN56" s="280"/>
      <c r="BO56" s="276"/>
      <c r="BP56" s="218"/>
    </row>
    <row r="57" spans="52:68" ht="15" x14ac:dyDescent="0.25">
      <c r="AZ57" s="218"/>
      <c r="BA57" s="210"/>
      <c r="BB57" s="210"/>
      <c r="BC57" s="210"/>
      <c r="BD57" s="242"/>
      <c r="BE57" s="227"/>
      <c r="BF57" s="245"/>
      <c r="BG57" s="246"/>
      <c r="BH57" s="285"/>
      <c r="BI57" s="286"/>
      <c r="BJ57" s="286"/>
      <c r="BK57" s="286"/>
      <c r="BL57" s="286"/>
      <c r="BM57" s="287"/>
      <c r="BN57" s="280"/>
      <c r="BO57" s="276"/>
      <c r="BP57" s="218"/>
    </row>
    <row r="58" spans="52:68" ht="15" x14ac:dyDescent="0.25">
      <c r="AZ58" s="218"/>
      <c r="BA58" s="210"/>
      <c r="BB58" s="210"/>
      <c r="BC58" s="210"/>
      <c r="BD58" s="242"/>
      <c r="BE58" s="227"/>
      <c r="BF58" s="245"/>
      <c r="BG58" s="246"/>
      <c r="BH58" s="285"/>
      <c r="BI58" s="286"/>
      <c r="BJ58" s="286"/>
      <c r="BK58" s="286"/>
      <c r="BL58" s="286"/>
      <c r="BM58" s="287"/>
      <c r="BN58" s="280"/>
      <c r="BO58" s="276"/>
      <c r="BP58" s="218"/>
    </row>
    <row r="59" spans="52:68" ht="15" x14ac:dyDescent="0.25">
      <c r="AZ59" s="218"/>
      <c r="BA59" s="210"/>
      <c r="BB59" s="210"/>
      <c r="BC59" s="210"/>
      <c r="BD59" s="242"/>
      <c r="BE59" s="227"/>
      <c r="BF59" s="245"/>
      <c r="BG59" s="246"/>
      <c r="BH59" s="285"/>
      <c r="BI59" s="286"/>
      <c r="BJ59" s="286"/>
      <c r="BK59" s="286"/>
      <c r="BL59" s="286"/>
      <c r="BM59" s="287"/>
      <c r="BN59" s="280"/>
      <c r="BO59" s="276"/>
      <c r="BP59" s="218"/>
    </row>
    <row r="60" spans="52:68" ht="15" x14ac:dyDescent="0.25">
      <c r="AZ60" s="218"/>
      <c r="BA60" s="210"/>
      <c r="BB60" s="210"/>
      <c r="BC60" s="210"/>
      <c r="BD60" s="242"/>
      <c r="BE60" s="227"/>
      <c r="BF60" s="245"/>
      <c r="BG60" s="246"/>
      <c r="BH60" s="285"/>
      <c r="BI60" s="286"/>
      <c r="BJ60" s="286"/>
      <c r="BK60" s="286"/>
      <c r="BL60" s="286"/>
      <c r="BM60" s="287"/>
      <c r="BN60" s="280"/>
      <c r="BO60" s="276"/>
      <c r="BP60" s="218"/>
    </row>
    <row r="61" spans="52:68" ht="15" x14ac:dyDescent="0.25">
      <c r="AZ61" s="218"/>
      <c r="BA61" s="210"/>
      <c r="BB61" s="210"/>
      <c r="BC61" s="210"/>
      <c r="BD61" s="242"/>
      <c r="BE61" s="227"/>
      <c r="BF61" s="245"/>
      <c r="BG61" s="246"/>
      <c r="BH61" s="285"/>
      <c r="BI61" s="286"/>
      <c r="BJ61" s="286"/>
      <c r="BK61" s="286"/>
      <c r="BL61" s="286"/>
      <c r="BM61" s="287"/>
      <c r="BN61" s="280"/>
      <c r="BO61" s="276"/>
      <c r="BP61" s="218"/>
    </row>
    <row r="62" spans="52:68" ht="15" x14ac:dyDescent="0.25">
      <c r="AZ62" s="218"/>
      <c r="BA62" s="210"/>
      <c r="BB62" s="210"/>
      <c r="BC62" s="210"/>
      <c r="BD62" s="242"/>
      <c r="BE62" s="227"/>
      <c r="BF62" s="245"/>
      <c r="BG62" s="246"/>
      <c r="BH62" s="285"/>
      <c r="BI62" s="286"/>
      <c r="BJ62" s="286"/>
      <c r="BK62" s="286"/>
      <c r="BL62" s="286"/>
      <c r="BM62" s="287"/>
      <c r="BN62" s="280"/>
      <c r="BO62" s="276"/>
      <c r="BP62" s="218"/>
    </row>
    <row r="63" spans="52:68" ht="15" x14ac:dyDescent="0.25">
      <c r="AZ63" s="218"/>
      <c r="BA63" s="210"/>
      <c r="BB63" s="210"/>
      <c r="BC63" s="210"/>
      <c r="BD63" s="242"/>
      <c r="BE63" s="227"/>
      <c r="BF63" s="245"/>
      <c r="BG63" s="246"/>
      <c r="BH63" s="285"/>
      <c r="BI63" s="286"/>
      <c r="BJ63" s="286"/>
      <c r="BK63" s="286"/>
      <c r="BL63" s="286"/>
      <c r="BM63" s="287"/>
      <c r="BN63" s="280"/>
      <c r="BO63" s="276"/>
      <c r="BP63" s="218"/>
    </row>
    <row r="64" spans="52:68" ht="15" x14ac:dyDescent="0.25">
      <c r="AZ64" s="218"/>
      <c r="BA64" s="210"/>
      <c r="BB64" s="210"/>
      <c r="BC64" s="210"/>
      <c r="BD64" s="242"/>
      <c r="BE64" s="227"/>
      <c r="BF64" s="245"/>
      <c r="BG64" s="246"/>
      <c r="BH64" s="285"/>
      <c r="BI64" s="286"/>
      <c r="BJ64" s="286"/>
      <c r="BK64" s="286"/>
      <c r="BL64" s="286"/>
      <c r="BM64" s="287"/>
      <c r="BN64" s="280"/>
      <c r="BO64" s="276"/>
      <c r="BP64" s="218"/>
    </row>
    <row r="65" spans="52:68" ht="15" x14ac:dyDescent="0.25">
      <c r="AZ65" s="218"/>
      <c r="BA65" s="210"/>
      <c r="BB65" s="210"/>
      <c r="BC65" s="210"/>
      <c r="BD65" s="242"/>
      <c r="BE65" s="227"/>
      <c r="BF65" s="245"/>
      <c r="BG65" s="246"/>
      <c r="BH65" s="285"/>
      <c r="BI65" s="286"/>
      <c r="BJ65" s="286"/>
      <c r="BK65" s="286"/>
      <c r="BL65" s="286"/>
      <c r="BM65" s="287"/>
      <c r="BN65" s="280"/>
      <c r="BO65" s="276"/>
      <c r="BP65" s="218"/>
    </row>
    <row r="66" spans="52:68" ht="15" x14ac:dyDescent="0.25">
      <c r="AZ66" s="218"/>
      <c r="BA66" s="210"/>
      <c r="BB66" s="210"/>
      <c r="BC66" s="210"/>
      <c r="BD66" s="242"/>
      <c r="BE66" s="227"/>
      <c r="BF66" s="245"/>
      <c r="BG66" s="246"/>
      <c r="BH66" s="285"/>
      <c r="BI66" s="286"/>
      <c r="BJ66" s="286"/>
      <c r="BK66" s="286"/>
      <c r="BL66" s="286"/>
      <c r="BM66" s="287"/>
      <c r="BN66" s="280"/>
      <c r="BO66" s="276"/>
      <c r="BP66" s="218"/>
    </row>
    <row r="67" spans="52:68" ht="15" x14ac:dyDescent="0.25">
      <c r="AZ67" s="218"/>
      <c r="BA67" s="210"/>
      <c r="BB67" s="210"/>
      <c r="BC67" s="210"/>
      <c r="BD67" s="242"/>
      <c r="BE67" s="227"/>
      <c r="BF67" s="245"/>
      <c r="BG67" s="246"/>
      <c r="BH67" s="285"/>
      <c r="BI67" s="286"/>
      <c r="BJ67" s="286"/>
      <c r="BK67" s="286"/>
      <c r="BL67" s="286"/>
      <c r="BM67" s="287"/>
      <c r="BN67" s="280"/>
      <c r="BO67" s="276"/>
      <c r="BP67" s="218"/>
    </row>
    <row r="68" spans="52:68" ht="15" x14ac:dyDescent="0.25">
      <c r="AZ68" s="218"/>
      <c r="BA68" s="210"/>
      <c r="BB68" s="210"/>
      <c r="BC68" s="210"/>
      <c r="BD68" s="242"/>
      <c r="BE68" s="227"/>
      <c r="BF68" s="245"/>
      <c r="BG68" s="246"/>
      <c r="BH68" s="285"/>
      <c r="BI68" s="286"/>
      <c r="BJ68" s="286"/>
      <c r="BK68" s="286"/>
      <c r="BL68" s="286"/>
      <c r="BM68" s="287"/>
      <c r="BN68" s="280"/>
      <c r="BO68" s="276"/>
      <c r="BP68" s="218"/>
    </row>
    <row r="69" spans="52:68" ht="15" x14ac:dyDescent="0.25">
      <c r="AZ69" s="218"/>
      <c r="BA69" s="210"/>
      <c r="BB69" s="210"/>
      <c r="BC69" s="210"/>
      <c r="BD69" s="242"/>
      <c r="BE69" s="227"/>
      <c r="BF69" s="245"/>
      <c r="BG69" s="246"/>
      <c r="BH69" s="285"/>
      <c r="BI69" s="286"/>
      <c r="BJ69" s="286"/>
      <c r="BK69" s="286"/>
      <c r="BL69" s="286"/>
      <c r="BM69" s="287"/>
      <c r="BN69" s="280"/>
      <c r="BO69" s="276"/>
      <c r="BP69" s="218"/>
    </row>
    <row r="70" spans="52:68" ht="15" x14ac:dyDescent="0.25">
      <c r="AZ70" s="218"/>
      <c r="BA70" s="210"/>
      <c r="BB70" s="210"/>
      <c r="BC70" s="210"/>
      <c r="BD70" s="242"/>
      <c r="BE70" s="227"/>
      <c r="BF70" s="245"/>
      <c r="BG70" s="246"/>
      <c r="BH70" s="285"/>
      <c r="BI70" s="286"/>
      <c r="BJ70" s="286"/>
      <c r="BK70" s="286"/>
      <c r="BL70" s="286"/>
      <c r="BM70" s="287"/>
      <c r="BN70" s="280"/>
      <c r="BO70" s="276"/>
      <c r="BP70" s="218"/>
    </row>
    <row r="71" spans="52:68" ht="15" x14ac:dyDescent="0.25">
      <c r="AZ71" s="218"/>
      <c r="BA71" s="210"/>
      <c r="BB71" s="210"/>
      <c r="BC71" s="210"/>
      <c r="BD71" s="242"/>
      <c r="BE71" s="227"/>
      <c r="BF71" s="245"/>
      <c r="BG71" s="246"/>
      <c r="BH71" s="285"/>
      <c r="BI71" s="286"/>
      <c r="BJ71" s="286"/>
      <c r="BK71" s="286"/>
      <c r="BL71" s="286"/>
      <c r="BM71" s="287"/>
      <c r="BN71" s="280"/>
      <c r="BO71" s="276"/>
      <c r="BP71" s="218"/>
    </row>
    <row r="72" spans="52:68" ht="15" x14ac:dyDescent="0.25">
      <c r="AZ72" s="218"/>
      <c r="BA72" s="210"/>
      <c r="BB72" s="210"/>
      <c r="BC72" s="210"/>
      <c r="BD72" s="242"/>
      <c r="BE72" s="227"/>
      <c r="BF72" s="245"/>
      <c r="BG72" s="246"/>
      <c r="BH72" s="285"/>
      <c r="BI72" s="286"/>
      <c r="BJ72" s="286"/>
      <c r="BK72" s="286"/>
      <c r="BL72" s="286"/>
      <c r="BM72" s="287"/>
      <c r="BN72" s="280"/>
      <c r="BO72" s="276"/>
      <c r="BP72" s="218"/>
    </row>
    <row r="73" spans="52:68" ht="15" x14ac:dyDescent="0.25">
      <c r="AZ73" s="218"/>
      <c r="BA73" s="210"/>
      <c r="BB73" s="210"/>
      <c r="BC73" s="210"/>
      <c r="BD73" s="242"/>
      <c r="BE73" s="227"/>
      <c r="BF73" s="245"/>
      <c r="BG73" s="246"/>
      <c r="BH73" s="285"/>
      <c r="BI73" s="286"/>
      <c r="BJ73" s="286"/>
      <c r="BK73" s="286"/>
      <c r="BL73" s="286"/>
      <c r="BM73" s="287"/>
      <c r="BN73" s="280"/>
      <c r="BO73" s="276"/>
      <c r="BP73" s="218"/>
    </row>
    <row r="74" spans="52:68" ht="15" x14ac:dyDescent="0.25">
      <c r="AZ74" s="218"/>
      <c r="BA74" s="210"/>
      <c r="BB74" s="210"/>
      <c r="BC74" s="210"/>
      <c r="BD74" s="242"/>
      <c r="BE74" s="227"/>
      <c r="BF74" s="245"/>
      <c r="BG74" s="246"/>
      <c r="BH74" s="285"/>
      <c r="BI74" s="286"/>
      <c r="BJ74" s="286"/>
      <c r="BK74" s="286"/>
      <c r="BL74" s="286"/>
      <c r="BM74" s="287"/>
      <c r="BN74" s="280"/>
      <c r="BO74" s="276"/>
      <c r="BP74" s="218"/>
    </row>
    <row r="75" spans="52:68" ht="15" x14ac:dyDescent="0.25">
      <c r="AZ75" s="218"/>
      <c r="BA75" s="210"/>
      <c r="BB75" s="210"/>
      <c r="BC75" s="210"/>
      <c r="BD75" s="242"/>
      <c r="BE75" s="227"/>
      <c r="BF75" s="245"/>
      <c r="BG75" s="246"/>
      <c r="BH75" s="285"/>
      <c r="BI75" s="286"/>
      <c r="BJ75" s="286"/>
      <c r="BK75" s="286"/>
      <c r="BL75" s="286"/>
      <c r="BM75" s="287"/>
      <c r="BN75" s="280"/>
      <c r="BO75" s="276"/>
      <c r="BP75" s="218"/>
    </row>
    <row r="76" spans="52:68" ht="15" x14ac:dyDescent="0.25">
      <c r="AZ76" s="218"/>
      <c r="BA76" s="210"/>
      <c r="BB76" s="210"/>
      <c r="BC76" s="210"/>
      <c r="BD76" s="242"/>
      <c r="BE76" s="227"/>
      <c r="BF76" s="245"/>
      <c r="BG76" s="246"/>
      <c r="BH76" s="285"/>
      <c r="BI76" s="286"/>
      <c r="BJ76" s="286"/>
      <c r="BK76" s="286"/>
      <c r="BL76" s="286"/>
      <c r="BM76" s="287"/>
      <c r="BN76" s="280"/>
      <c r="BO76" s="276"/>
      <c r="BP76" s="218"/>
    </row>
    <row r="77" spans="52:68" ht="15" x14ac:dyDescent="0.25">
      <c r="AZ77" s="218"/>
      <c r="BA77" s="210"/>
      <c r="BB77" s="210"/>
      <c r="BC77" s="210"/>
      <c r="BD77" s="242"/>
      <c r="BE77" s="227"/>
      <c r="BF77" s="245"/>
      <c r="BG77" s="246"/>
      <c r="BH77" s="285"/>
      <c r="BI77" s="286"/>
      <c r="BJ77" s="286"/>
      <c r="BK77" s="286"/>
      <c r="BL77" s="286"/>
      <c r="BM77" s="287"/>
      <c r="BN77" s="280"/>
      <c r="BO77" s="276"/>
      <c r="BP77" s="218"/>
    </row>
    <row r="78" spans="52:68" ht="15" x14ac:dyDescent="0.25">
      <c r="AZ78" s="218"/>
      <c r="BA78" s="210"/>
      <c r="BB78" s="210"/>
      <c r="BC78" s="210"/>
      <c r="BD78" s="242"/>
      <c r="BE78" s="227"/>
      <c r="BF78" s="245"/>
      <c r="BG78" s="246"/>
      <c r="BH78" s="285"/>
      <c r="BI78" s="286"/>
      <c r="BJ78" s="286"/>
      <c r="BK78" s="286"/>
      <c r="BL78" s="286"/>
      <c r="BM78" s="287"/>
      <c r="BN78" s="280"/>
      <c r="BO78" s="276"/>
      <c r="BP78" s="218"/>
    </row>
    <row r="79" spans="52:68" ht="15" x14ac:dyDescent="0.25">
      <c r="AZ79" s="218"/>
      <c r="BA79" s="210"/>
      <c r="BB79" s="210"/>
      <c r="BC79" s="210"/>
      <c r="BD79" s="242"/>
      <c r="BE79" s="227"/>
      <c r="BF79" s="245"/>
      <c r="BG79" s="246"/>
      <c r="BH79" s="285"/>
      <c r="BI79" s="286"/>
      <c r="BJ79" s="286"/>
      <c r="BK79" s="286"/>
      <c r="BL79" s="286"/>
      <c r="BM79" s="287"/>
      <c r="BN79" s="280"/>
      <c r="BO79" s="276"/>
      <c r="BP79" s="218"/>
    </row>
    <row r="80" spans="52:68" ht="15" x14ac:dyDescent="0.25">
      <c r="AZ80" s="218"/>
      <c r="BA80" s="210"/>
      <c r="BB80" s="210"/>
      <c r="BC80" s="210"/>
      <c r="BD80" s="242"/>
      <c r="BE80" s="227"/>
      <c r="BF80" s="245"/>
      <c r="BG80" s="246"/>
      <c r="BH80" s="285"/>
      <c r="BI80" s="286"/>
      <c r="BJ80" s="286"/>
      <c r="BK80" s="286"/>
      <c r="BL80" s="286"/>
      <c r="BM80" s="287"/>
      <c r="BN80" s="280"/>
      <c r="BO80" s="276"/>
      <c r="BP80" s="218"/>
    </row>
    <row r="81" spans="2:68" ht="15" x14ac:dyDescent="0.25">
      <c r="AZ81" s="218"/>
      <c r="BA81" s="210"/>
      <c r="BB81" s="210"/>
      <c r="BC81" s="210"/>
      <c r="BD81" s="242"/>
      <c r="BE81" s="227"/>
      <c r="BF81" s="245"/>
      <c r="BG81" s="246"/>
      <c r="BH81" s="285"/>
      <c r="BI81" s="286"/>
      <c r="BJ81" s="286"/>
      <c r="BK81" s="286"/>
      <c r="BL81" s="286"/>
      <c r="BM81" s="287"/>
      <c r="BN81" s="280"/>
      <c r="BO81" s="276"/>
      <c r="BP81" s="218"/>
    </row>
    <row r="82" spans="2:68" ht="15" x14ac:dyDescent="0.25">
      <c r="AZ82" s="218"/>
      <c r="BA82" s="210"/>
      <c r="BB82" s="210"/>
      <c r="BC82" s="210"/>
      <c r="BD82" s="242"/>
      <c r="BE82" s="227"/>
      <c r="BF82" s="245"/>
      <c r="BG82" s="246"/>
      <c r="BH82" s="285"/>
      <c r="BI82" s="286"/>
      <c r="BJ82" s="286"/>
      <c r="BK82" s="286"/>
      <c r="BL82" s="286"/>
      <c r="BM82" s="287"/>
      <c r="BN82" s="280"/>
      <c r="BO82" s="276"/>
      <c r="BP82" s="218"/>
    </row>
    <row r="83" spans="2:68" ht="15" x14ac:dyDescent="0.25">
      <c r="AZ83" s="218"/>
      <c r="BA83" s="210"/>
      <c r="BB83" s="210"/>
      <c r="BC83" s="210"/>
      <c r="BD83" s="242"/>
      <c r="BE83" s="227"/>
      <c r="BF83" s="245"/>
      <c r="BG83" s="246"/>
      <c r="BH83" s="285"/>
      <c r="BI83" s="286"/>
      <c r="BJ83" s="286"/>
      <c r="BK83" s="286"/>
      <c r="BL83" s="286"/>
      <c r="BM83" s="287"/>
      <c r="BN83" s="280"/>
      <c r="BO83" s="276"/>
      <c r="BP83" s="218"/>
    </row>
    <row r="84" spans="2:68" ht="15" x14ac:dyDescent="0.25">
      <c r="AZ84" s="218"/>
      <c r="BA84" s="210"/>
      <c r="BB84" s="210"/>
      <c r="BC84" s="210"/>
      <c r="BD84" s="242"/>
      <c r="BE84" s="227"/>
      <c r="BF84" s="245"/>
      <c r="BG84" s="246"/>
      <c r="BH84" s="285"/>
      <c r="BI84" s="286"/>
      <c r="BJ84" s="286"/>
      <c r="BK84" s="286"/>
      <c r="BL84" s="286"/>
      <c r="BM84" s="287"/>
      <c r="BN84" s="280"/>
      <c r="BO84" s="276"/>
      <c r="BP84" s="218"/>
    </row>
    <row r="85" spans="2:68" ht="15" x14ac:dyDescent="0.25">
      <c r="AZ85" s="218"/>
      <c r="BA85" s="210"/>
      <c r="BB85" s="210"/>
      <c r="BC85" s="210"/>
      <c r="BD85" s="242"/>
      <c r="BE85" s="227"/>
      <c r="BF85" s="245"/>
      <c r="BG85" s="246"/>
      <c r="BH85" s="285"/>
      <c r="BI85" s="286"/>
      <c r="BJ85" s="286"/>
      <c r="BK85" s="286"/>
      <c r="BL85" s="286"/>
      <c r="BM85" s="287"/>
      <c r="BN85" s="280"/>
      <c r="BO85" s="276"/>
      <c r="BP85" s="218"/>
    </row>
    <row r="86" spans="2:68" ht="15" x14ac:dyDescent="0.25">
      <c r="AZ86" s="218"/>
      <c r="BA86" s="210"/>
      <c r="BB86" s="210"/>
      <c r="BC86" s="210"/>
      <c r="BD86" s="242"/>
      <c r="BE86" s="227"/>
      <c r="BF86" s="245"/>
      <c r="BG86" s="246"/>
      <c r="BH86" s="285"/>
      <c r="BI86" s="286"/>
      <c r="BJ86" s="286"/>
      <c r="BK86" s="286"/>
      <c r="BL86" s="286"/>
      <c r="BM86" s="287"/>
      <c r="BN86" s="280"/>
      <c r="BO86" s="276"/>
      <c r="BP86" s="218"/>
    </row>
    <row r="87" spans="2:68" ht="15" x14ac:dyDescent="0.25">
      <c r="AZ87" s="218"/>
      <c r="BA87" s="210"/>
      <c r="BB87" s="210"/>
      <c r="BC87" s="210"/>
      <c r="BD87" s="242"/>
      <c r="BE87" s="227"/>
      <c r="BF87" s="245"/>
      <c r="BG87" s="246"/>
      <c r="BH87" s="285"/>
      <c r="BI87" s="286"/>
      <c r="BJ87" s="286"/>
      <c r="BK87" s="286"/>
      <c r="BL87" s="286"/>
      <c r="BM87" s="287"/>
      <c r="BN87" s="280"/>
      <c r="BO87" s="276"/>
      <c r="BP87" s="218"/>
    </row>
    <row r="88" spans="2:68" ht="15" x14ac:dyDescent="0.25">
      <c r="AZ88" s="218"/>
      <c r="BA88" s="210"/>
      <c r="BB88" s="210"/>
      <c r="BC88" s="210"/>
      <c r="BD88" s="242"/>
      <c r="BE88" s="227"/>
      <c r="BF88" s="245"/>
      <c r="BG88" s="246"/>
      <c r="BH88" s="285"/>
      <c r="BI88" s="286"/>
      <c r="BJ88" s="286"/>
      <c r="BK88" s="286"/>
      <c r="BL88" s="286"/>
      <c r="BM88" s="287"/>
      <c r="BN88" s="280"/>
      <c r="BO88" s="276"/>
      <c r="BP88" s="218"/>
    </row>
    <row r="89" spans="2:68" ht="15" x14ac:dyDescent="0.25">
      <c r="AZ89" s="218"/>
      <c r="BA89" s="210"/>
      <c r="BB89" s="210"/>
      <c r="BC89" s="210"/>
      <c r="BD89" s="242"/>
      <c r="BE89" s="227"/>
      <c r="BF89" s="245"/>
      <c r="BG89" s="246"/>
      <c r="BH89" s="285"/>
      <c r="BI89" s="286"/>
      <c r="BJ89" s="286"/>
      <c r="BK89" s="286"/>
      <c r="BL89" s="286"/>
      <c r="BM89" s="287"/>
      <c r="BN89" s="280"/>
      <c r="BO89" s="276"/>
      <c r="BP89" s="218"/>
    </row>
    <row r="90" spans="2:68" ht="15" x14ac:dyDescent="0.25">
      <c r="AZ90" s="218"/>
      <c r="BA90" s="210"/>
      <c r="BB90" s="210"/>
      <c r="BC90" s="210"/>
      <c r="BD90" s="242"/>
      <c r="BE90" s="227"/>
      <c r="BF90" s="245"/>
      <c r="BG90" s="246"/>
      <c r="BH90" s="285"/>
      <c r="BI90" s="286"/>
      <c r="BJ90" s="286"/>
      <c r="BK90" s="286"/>
      <c r="BL90" s="286"/>
      <c r="BM90" s="287"/>
      <c r="BN90" s="280"/>
      <c r="BO90" s="276"/>
      <c r="BP90" s="218"/>
    </row>
    <row r="91" spans="2:68" ht="15" x14ac:dyDescent="0.25">
      <c r="AZ91" s="218"/>
      <c r="BA91" s="210"/>
      <c r="BB91" s="210"/>
      <c r="BC91" s="210"/>
      <c r="BD91" s="242"/>
      <c r="BE91" s="227"/>
      <c r="BF91" s="245"/>
      <c r="BG91" s="246"/>
      <c r="BH91" s="285"/>
      <c r="BI91" s="286"/>
      <c r="BJ91" s="286"/>
      <c r="BK91" s="286"/>
      <c r="BL91" s="286"/>
      <c r="BM91" s="287"/>
      <c r="BN91" s="280"/>
      <c r="BO91" s="276"/>
      <c r="BP91" s="218"/>
    </row>
    <row r="92" spans="2:68" ht="15" x14ac:dyDescent="0.25">
      <c r="AZ92" s="218"/>
      <c r="BA92" s="210"/>
      <c r="BB92" s="210"/>
      <c r="BC92" s="210"/>
      <c r="BD92" s="242"/>
      <c r="BE92" s="227"/>
      <c r="BF92" s="245"/>
      <c r="BG92" s="246"/>
      <c r="BH92" s="285"/>
      <c r="BI92" s="286"/>
      <c r="BJ92" s="286"/>
      <c r="BK92" s="286"/>
      <c r="BL92" s="286"/>
      <c r="BM92" s="287"/>
      <c r="BN92" s="280"/>
      <c r="BO92" s="276"/>
      <c r="BP92" s="218"/>
    </row>
    <row r="93" spans="2:68" ht="15" x14ac:dyDescent="0.25">
      <c r="AZ93" s="218"/>
      <c r="BA93" s="210"/>
      <c r="BB93" s="210"/>
      <c r="BC93" s="210"/>
      <c r="BD93" s="242"/>
      <c r="BE93" s="227"/>
      <c r="BF93" s="245"/>
      <c r="BG93" s="246"/>
      <c r="BH93" s="285"/>
      <c r="BI93" s="286"/>
      <c r="BJ93" s="286"/>
      <c r="BK93" s="286"/>
      <c r="BL93" s="286"/>
      <c r="BM93" s="287"/>
      <c r="BN93" s="280"/>
      <c r="BO93" s="276"/>
      <c r="BP93" s="218"/>
    </row>
    <row r="94" spans="2:68" ht="15.75" x14ac:dyDescent="0.25">
      <c r="B94" s="325" t="s">
        <v>188</v>
      </c>
      <c r="C94" s="326"/>
      <c r="AZ94" s="218"/>
      <c r="BA94" s="218"/>
      <c r="BB94" s="218"/>
      <c r="BC94" s="218"/>
      <c r="BD94" s="218"/>
      <c r="BE94" s="218"/>
      <c r="BF94" s="218"/>
      <c r="BG94" s="218"/>
      <c r="BH94" s="218"/>
      <c r="BI94" s="218"/>
      <c r="BJ94" s="218"/>
      <c r="BK94" s="218"/>
      <c r="BL94" s="218"/>
      <c r="BM94" s="218"/>
      <c r="BN94" s="218"/>
      <c r="BO94" s="218"/>
      <c r="BP94" s="218"/>
    </row>
    <row r="95" spans="2:68" ht="15" x14ac:dyDescent="0.2">
      <c r="B95" s="327" t="s">
        <v>189</v>
      </c>
      <c r="C95" s="328">
        <v>10</v>
      </c>
    </row>
    <row r="96" spans="2:68" ht="15" x14ac:dyDescent="0.2">
      <c r="B96" s="327" t="s">
        <v>190</v>
      </c>
      <c r="C96" s="328" t="e">
        <f>AM120*C36+AM120</f>
        <v>#N/A</v>
      </c>
    </row>
    <row r="97" spans="2:42" ht="15" x14ac:dyDescent="0.2">
      <c r="B97" s="327" t="s">
        <v>192</v>
      </c>
      <c r="C97" s="328" t="e">
        <f>VLOOKUP(C19,AM111:AN114,2)*C10*C21/60*AS18</f>
        <v>#N/A</v>
      </c>
    </row>
    <row r="98" spans="2:42" ht="15" x14ac:dyDescent="0.2">
      <c r="B98" s="327" t="s">
        <v>194</v>
      </c>
      <c r="C98" s="328" t="e">
        <f>C24*AM117</f>
        <v>#N/A</v>
      </c>
    </row>
    <row r="99" spans="2:42" ht="15" x14ac:dyDescent="0.2">
      <c r="B99" s="327" t="s">
        <v>195</v>
      </c>
      <c r="C99" s="328" t="e">
        <f>C23*AM123/12*C10</f>
        <v>#N/A</v>
      </c>
      <c r="I99" s="57" t="str">
        <f>IF(C12=AK104,"STRIKE",IF(C12=AK105,"STRIKE",""))</f>
        <v/>
      </c>
    </row>
    <row r="100" spans="2:42" x14ac:dyDescent="0.2">
      <c r="I100" s="212" t="str">
        <f>IF(C13=B110,"STRIKE","X")</f>
        <v>X</v>
      </c>
    </row>
    <row r="101" spans="2:42" ht="15.75" x14ac:dyDescent="0.25">
      <c r="B101" s="329" t="s">
        <v>197</v>
      </c>
      <c r="C101" s="330" t="e">
        <f>SUM(C95:C100)</f>
        <v>#N/A</v>
      </c>
      <c r="D101" s="325" t="s">
        <v>198</v>
      </c>
      <c r="I101" s="212"/>
    </row>
    <row r="102" spans="2:42" ht="15.75" x14ac:dyDescent="0.25">
      <c r="B102" s="331" t="s">
        <v>199</v>
      </c>
      <c r="C102" s="330" t="e">
        <f>C101/60</f>
        <v>#N/A</v>
      </c>
      <c r="D102" s="325" t="s">
        <v>200</v>
      </c>
      <c r="G102" s="212"/>
      <c r="I102" s="212" t="s">
        <v>312</v>
      </c>
      <c r="AC102" s="199"/>
      <c r="AD102" s="199"/>
      <c r="AE102" s="199"/>
      <c r="AF102" s="199"/>
      <c r="AG102" s="199"/>
      <c r="AH102" s="245"/>
      <c r="AI102" s="246"/>
      <c r="AJ102" s="247"/>
      <c r="AK102" s="251"/>
      <c r="AL102" s="251"/>
      <c r="AM102" s="311">
        <f>IF(C5="End User",1,IF(C5="Distributor",2,2))</f>
        <v>2</v>
      </c>
      <c r="AO102" s="247"/>
      <c r="AP102" s="251"/>
    </row>
    <row r="103" spans="2:42" ht="15" x14ac:dyDescent="0.25">
      <c r="G103" s="212"/>
      <c r="AC103" s="210"/>
      <c r="AD103" s="210"/>
      <c r="AE103" s="210"/>
      <c r="AF103" s="242"/>
      <c r="AG103" s="227"/>
      <c r="AH103" s="245"/>
      <c r="AI103" s="246"/>
      <c r="AJ103" s="247"/>
      <c r="AK103" s="201" t="s">
        <v>265</v>
      </c>
      <c r="AL103" s="312" t="e">
        <f>IF(AM102=1,J11,L11)</f>
        <v>#N/A</v>
      </c>
      <c r="AM103" s="251"/>
      <c r="AN103" s="251"/>
      <c r="AO103" s="247"/>
      <c r="AP103" s="251">
        <v>1.57</v>
      </c>
    </row>
    <row r="104" spans="2:42" x14ac:dyDescent="0.2">
      <c r="G104" s="212"/>
      <c r="AK104" s="201" t="s">
        <v>191</v>
      </c>
      <c r="AL104" s="312" t="e">
        <f>IF(AM102=1,J9,L9)</f>
        <v>#N/A</v>
      </c>
      <c r="AM104" s="259">
        <f>AO104*0.65</f>
        <v>4.3745000000000003</v>
      </c>
      <c r="AN104" s="259">
        <f>0.85*AO104</f>
        <v>5.7205000000000004</v>
      </c>
      <c r="AO104" s="259">
        <v>6.73</v>
      </c>
      <c r="AP104" s="313">
        <v>1.5</v>
      </c>
    </row>
    <row r="105" spans="2:42" x14ac:dyDescent="0.2">
      <c r="B105" s="332" t="s">
        <v>204</v>
      </c>
      <c r="C105" s="333" t="e">
        <f>VLOOKUP(C8,Rollinfo!A3:E22,5,FALSE)</f>
        <v>#N/A</v>
      </c>
      <c r="G105" s="212"/>
      <c r="AK105" s="201" t="s">
        <v>193</v>
      </c>
      <c r="AL105" s="312" t="e">
        <f>IF(AM102=1,J10,L10)</f>
        <v>#N/A</v>
      </c>
      <c r="AM105" s="259">
        <f>AO105*0.65</f>
        <v>7.5009999999999994</v>
      </c>
      <c r="AN105" s="259">
        <f>0.85*AO105</f>
        <v>9.8089999999999993</v>
      </c>
      <c r="AO105" s="259">
        <v>11.54</v>
      </c>
      <c r="AP105" s="313">
        <v>1.6</v>
      </c>
    </row>
    <row r="106" spans="2:42" x14ac:dyDescent="0.2">
      <c r="B106" s="334" t="s">
        <v>205</v>
      </c>
      <c r="C106" s="335" t="e">
        <f>VLOOKUP(C8,Rollinfo!A3:D22,4,FALSE)</f>
        <v>#N/A</v>
      </c>
      <c r="E106" s="336"/>
      <c r="G106" s="212"/>
      <c r="AK106" s="201" t="s">
        <v>310</v>
      </c>
      <c r="AL106" s="312" t="e">
        <f>IF(AM102=1,J12,L12)</f>
        <v>#N/A</v>
      </c>
      <c r="AM106" s="259">
        <f>AO106*0.65</f>
        <v>9.7174999999999994</v>
      </c>
      <c r="AN106" s="259">
        <f>0.85*AO106</f>
        <v>12.7075</v>
      </c>
      <c r="AO106" s="259">
        <v>14.95</v>
      </c>
      <c r="AP106" s="314">
        <v>2.5</v>
      </c>
    </row>
    <row r="107" spans="2:42" x14ac:dyDescent="0.2">
      <c r="B107" s="337" t="s">
        <v>206</v>
      </c>
      <c r="C107" s="338" t="e">
        <f>C106-C105</f>
        <v>#N/A</v>
      </c>
      <c r="E107" s="336"/>
      <c r="G107" s="212"/>
      <c r="AK107" s="201" t="s">
        <v>277</v>
      </c>
      <c r="AL107" s="311">
        <v>0</v>
      </c>
      <c r="AM107" s="315">
        <v>0</v>
      </c>
      <c r="AN107" s="315">
        <v>0</v>
      </c>
      <c r="AO107" s="315">
        <v>0</v>
      </c>
      <c r="AP107" s="313">
        <v>0</v>
      </c>
    </row>
    <row r="108" spans="2:42" x14ac:dyDescent="0.2">
      <c r="E108" s="336"/>
      <c r="G108" s="212"/>
    </row>
    <row r="109" spans="2:42" x14ac:dyDescent="0.2">
      <c r="C109" s="339" t="s">
        <v>208</v>
      </c>
      <c r="D109" s="340" t="s">
        <v>209</v>
      </c>
      <c r="E109" s="341" t="s">
        <v>210</v>
      </c>
      <c r="F109" s="340" t="s">
        <v>211</v>
      </c>
      <c r="G109" s="342"/>
    </row>
    <row r="110" spans="2:42" ht="15.75" x14ac:dyDescent="0.25">
      <c r="B110" s="343" t="s">
        <v>278</v>
      </c>
      <c r="C110" s="339" t="e">
        <f>ROUNDUP(($C$6-$C$105)/$C$107,0)</f>
        <v>#N/A</v>
      </c>
      <c r="D110" s="344" t="e">
        <f>$C$110*$C$107+$C$105</f>
        <v>#N/A</v>
      </c>
      <c r="E110" s="344">
        <f>$C$7-1</f>
        <v>-1</v>
      </c>
      <c r="F110" s="344">
        <f>$C$6-0.25</f>
        <v>-0.25</v>
      </c>
      <c r="G110" s="342"/>
      <c r="AC110" s="199" t="s">
        <v>166</v>
      </c>
      <c r="AD110" s="316" t="e">
        <f>$C$17*$C$20</f>
        <v>#N/A</v>
      </c>
      <c r="AE110" s="199"/>
      <c r="AF110" s="199"/>
      <c r="AG110" s="317" t="s">
        <v>167</v>
      </c>
      <c r="AH110" s="199"/>
      <c r="AI110" s="199"/>
      <c r="AM110" s="318" t="s">
        <v>201</v>
      </c>
      <c r="AN110" s="318" t="s">
        <v>202</v>
      </c>
    </row>
    <row r="111" spans="2:42" ht="15.75" x14ac:dyDescent="0.25">
      <c r="B111" s="343" t="s">
        <v>279</v>
      </c>
      <c r="C111" s="339" t="e">
        <f>ROUNDUP((($C$6+2*$C$105)-$C$105)/$C$107,0)</f>
        <v>#N/A</v>
      </c>
      <c r="D111" s="344" t="e">
        <f>$C$111*$C$107+$C$105</f>
        <v>#N/A</v>
      </c>
      <c r="E111" s="344">
        <f>$C$7+3</f>
        <v>3</v>
      </c>
      <c r="F111" s="344" t="e">
        <f>IF(C12=AK104,ROUNDUP((D111/12),0)*12,IF(C12=AK105,ROUNDUP(D111/24,0)*24,D111))</f>
        <v>#N/A</v>
      </c>
      <c r="G111" s="342"/>
      <c r="AC111" s="199" t="s">
        <v>169</v>
      </c>
      <c r="AD111" s="316" t="e">
        <f>$C$23*$C$22/12</f>
        <v>#N/A</v>
      </c>
      <c r="AE111" s="199"/>
      <c r="AF111" s="199"/>
      <c r="AG111" s="317" t="s">
        <v>170</v>
      </c>
      <c r="AH111" s="319" t="e">
        <f>(C18-C6)/2</f>
        <v>#N/A</v>
      </c>
      <c r="AI111" s="199" t="s">
        <v>115</v>
      </c>
      <c r="AM111" s="201">
        <v>0</v>
      </c>
      <c r="AN111" s="201">
        <v>45</v>
      </c>
      <c r="AO111" s="201" t="s">
        <v>203</v>
      </c>
    </row>
    <row r="112" spans="2:42" ht="15.75" x14ac:dyDescent="0.25">
      <c r="B112" s="343" t="s">
        <v>280</v>
      </c>
      <c r="C112" s="339" t="e">
        <f>ROUNDUP(($C$6-$C$105)/$C$107,0)</f>
        <v>#N/A</v>
      </c>
      <c r="D112" s="344" t="e">
        <f>$C$112*$C$107+$C$105</f>
        <v>#N/A</v>
      </c>
      <c r="E112" s="344">
        <f>C7</f>
        <v>0</v>
      </c>
      <c r="F112" s="344" t="e">
        <f>IF(C12=AK104,ROUNDUP((D112/12),0)*12,IF(C12=AK105,ROUNDUP(D112/24,0)*24,D112))</f>
        <v>#N/A</v>
      </c>
      <c r="G112" s="342"/>
      <c r="AC112" s="199" t="s">
        <v>172</v>
      </c>
      <c r="AD112" s="316" t="e">
        <f>VLOOKUP($C$14,$AH$42:$AL$42,$E$5,FALSE)</f>
        <v>#N/A</v>
      </c>
      <c r="AE112" s="199" t="s">
        <v>173</v>
      </c>
      <c r="AF112" s="199"/>
      <c r="AG112" s="199"/>
      <c r="AH112" s="199"/>
      <c r="AI112" s="199"/>
      <c r="AM112" s="201">
        <v>60</v>
      </c>
      <c r="AN112" s="201">
        <v>55</v>
      </c>
      <c r="AO112" s="201" t="s">
        <v>203</v>
      </c>
    </row>
    <row r="113" spans="2:41" ht="15" x14ac:dyDescent="0.25">
      <c r="F113" s="345"/>
      <c r="G113" s="342"/>
      <c r="AC113" s="320" t="s">
        <v>175</v>
      </c>
      <c r="AD113" s="321"/>
      <c r="AE113" s="320" t="s">
        <v>176</v>
      </c>
      <c r="AF113" s="320"/>
      <c r="AG113" s="320"/>
      <c r="AH113" s="199"/>
      <c r="AI113" s="199"/>
      <c r="AM113" s="201">
        <v>120</v>
      </c>
      <c r="AN113" s="201">
        <v>65</v>
      </c>
      <c r="AO113" s="201" t="s">
        <v>203</v>
      </c>
    </row>
    <row r="114" spans="2:41" ht="15.75" x14ac:dyDescent="0.25">
      <c r="B114" s="340" t="s">
        <v>216</v>
      </c>
      <c r="C114" s="339" t="e">
        <f>VLOOKUP(C8,AH8:AM41,6,FALSE)</f>
        <v>#N/A</v>
      </c>
      <c r="E114" s="336"/>
      <c r="F114" s="345"/>
      <c r="G114" s="342"/>
      <c r="AC114" s="199" t="s">
        <v>178</v>
      </c>
      <c r="AD114" s="322" t="e">
        <f>SUM(AD110:AD113)</f>
        <v>#N/A</v>
      </c>
      <c r="AE114" s="323"/>
      <c r="AF114" s="324" t="s">
        <v>104</v>
      </c>
      <c r="AG114" s="323"/>
      <c r="AH114" s="323"/>
      <c r="AI114" s="323"/>
      <c r="AM114" s="201">
        <v>180</v>
      </c>
      <c r="AN114" s="201">
        <v>75</v>
      </c>
      <c r="AO114" s="201" t="s">
        <v>203</v>
      </c>
    </row>
    <row r="115" spans="2:41" x14ac:dyDescent="0.2">
      <c r="B115" s="340" t="s">
        <v>218</v>
      </c>
      <c r="C115" s="339" t="e">
        <f>VLOOKUP(C12,AK103:AP107,6,FALSE)</f>
        <v>#N/A</v>
      </c>
      <c r="E115" s="336"/>
      <c r="F115" s="212"/>
      <c r="G115" s="212"/>
    </row>
    <row r="116" spans="2:41" x14ac:dyDescent="0.2">
      <c r="E116" s="336"/>
      <c r="F116" s="345"/>
      <c r="AM116" s="311" t="s">
        <v>207</v>
      </c>
    </row>
    <row r="117" spans="2:41" x14ac:dyDescent="0.2">
      <c r="B117" s="199" t="s">
        <v>220</v>
      </c>
      <c r="C117" s="200" t="e">
        <f>VLOOKUP(C8,AH8:AN41,7,FALSE)</f>
        <v>#N/A</v>
      </c>
      <c r="E117" s="336"/>
      <c r="F117" s="212"/>
      <c r="AM117" s="201">
        <v>5</v>
      </c>
      <c r="AN117" s="201" t="s">
        <v>212</v>
      </c>
    </row>
    <row r="119" spans="2:41" x14ac:dyDescent="0.2">
      <c r="AM119" s="201" t="s">
        <v>214</v>
      </c>
    </row>
    <row r="120" spans="2:41" x14ac:dyDescent="0.2">
      <c r="AM120" s="201">
        <v>5</v>
      </c>
      <c r="AN120" s="201" t="s">
        <v>212</v>
      </c>
    </row>
    <row r="122" spans="2:41" x14ac:dyDescent="0.2">
      <c r="AM122" s="201" t="s">
        <v>217</v>
      </c>
    </row>
    <row r="123" spans="2:41" x14ac:dyDescent="0.2">
      <c r="AM123" s="201">
        <v>0.25</v>
      </c>
      <c r="AN123" s="201" t="s">
        <v>219</v>
      </c>
    </row>
    <row r="126" spans="2:41" x14ac:dyDescent="0.2">
      <c r="E126" s="336"/>
      <c r="F126" s="212"/>
    </row>
  </sheetData>
  <sheetProtection selectLockedCells="1"/>
  <protectedRanges>
    <protectedRange sqref="D34" name="Range2"/>
    <protectedRange sqref="I2:I3" name="Range1"/>
  </protectedRanges>
  <mergeCells count="3">
    <mergeCell ref="BA7:BE7"/>
    <mergeCell ref="BA8:BE8"/>
    <mergeCell ref="B40:F40"/>
  </mergeCells>
  <phoneticPr fontId="25" type="noConversion"/>
  <dataValidations count="8">
    <dataValidation type="list" allowBlank="1" showInputMessage="1" showErrorMessage="1" sqref="C9">
      <formula1>$BK$11:$BK$15</formula1>
    </dataValidation>
    <dataValidation type="list" allowBlank="1" showInputMessage="1" showErrorMessage="1" sqref="C8">
      <formula1>$AZ$10:$BI$10</formula1>
    </dataValidation>
    <dataValidation type="list" allowBlank="1" showInputMessage="1" showErrorMessage="1" sqref="Q6:U6 I23:J23 AC6:AF6">
      <formula1>$AK$104:$AK$107</formula1>
    </dataValidation>
    <dataValidation type="list" allowBlank="1" showInputMessage="1" showErrorMessage="1" sqref="AC8:AF8 Q8">
      <formula1>$AH$42:$AH$42</formula1>
    </dataValidation>
    <dataValidation type="list" allowBlank="1" showInputMessage="1" showErrorMessage="1" sqref="Q7 C13 AC7:AF7">
      <formula1>$B$110:$B$112</formula1>
    </dataValidation>
    <dataValidation type="list" allowBlank="1" showInputMessage="1" showErrorMessage="1" sqref="C5">
      <formula1>$AH$4:$AH$6</formula1>
    </dataValidation>
    <dataValidation type="list" allowBlank="1" showInputMessage="1" showErrorMessage="1" sqref="C12">
      <formula1>$AK$103:$AK$107</formula1>
    </dataValidation>
    <dataValidation type="list" allowBlank="1" showInputMessage="1" showErrorMessage="1" sqref="C14">
      <formula1>$AH$42:$AH$43</formula1>
    </dataValidation>
  </dataValidations>
  <pageMargins left="0.74803149606299202" right="0.74803149606299202" top="0.98425196850393704" bottom="0.98425196850393704" header="0.511811023622047" footer="0.511811023622047"/>
  <pageSetup scale="78" orientation="portrait" verticalDpi="300" r:id="rId1"/>
  <headerFooter alignWithMargins="0">
    <oddHeader xml:space="preserve">&amp;Lfilename: &amp;F&amp;CSheet: &amp;A&amp;R&amp;D, &amp;T
</oddHeader>
    <oddFooter>&amp;L&amp;Z&amp;F&amp;R&amp;D</oddFooter>
  </headerFooter>
  <colBreaks count="1" manualBreakCount="1">
    <brk id="12" min="1" max="38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4"/>
  <sheetViews>
    <sheetView topLeftCell="A13" workbookViewId="0">
      <selection activeCell="C46" sqref="C46"/>
    </sheetView>
  </sheetViews>
  <sheetFormatPr defaultColWidth="8" defaultRowHeight="12.75" x14ac:dyDescent="0.2"/>
  <cols>
    <col min="1" max="4" width="8" style="26" customWidth="1"/>
    <col min="5" max="5" width="9" style="26" customWidth="1"/>
    <col min="6" max="16384" width="8" style="26"/>
  </cols>
  <sheetData>
    <row r="1" spans="1:12" x14ac:dyDescent="0.2">
      <c r="A1" s="26" t="s">
        <v>221</v>
      </c>
      <c r="H1" s="27" t="s">
        <v>222</v>
      </c>
      <c r="I1" s="56">
        <v>1.05</v>
      </c>
    </row>
    <row r="2" spans="1:12" x14ac:dyDescent="0.2">
      <c r="B2" s="26" t="s">
        <v>223</v>
      </c>
      <c r="C2" s="26" t="s">
        <v>224</v>
      </c>
      <c r="D2" s="26" t="s">
        <v>225</v>
      </c>
      <c r="E2" s="26" t="s">
        <v>226</v>
      </c>
      <c r="F2" s="26" t="s">
        <v>118</v>
      </c>
      <c r="G2" s="26" t="s">
        <v>119</v>
      </c>
      <c r="H2" s="26" t="s">
        <v>120</v>
      </c>
    </row>
    <row r="3" spans="1:12" x14ac:dyDescent="0.2">
      <c r="A3" s="26" t="s">
        <v>299</v>
      </c>
      <c r="B3" s="41">
        <v>145.31</v>
      </c>
      <c r="C3" s="26">
        <v>300</v>
      </c>
      <c r="D3" s="26">
        <v>4</v>
      </c>
      <c r="E3" s="26">
        <v>2</v>
      </c>
      <c r="F3" s="41">
        <v>2.85</v>
      </c>
      <c r="G3" s="26">
        <v>3.97</v>
      </c>
      <c r="H3" s="26">
        <v>4.45</v>
      </c>
      <c r="K3" s="40">
        <f t="shared" ref="K3:K8" si="0">F3/H3</f>
        <v>0.6404494382022472</v>
      </c>
      <c r="L3" s="26">
        <f t="shared" ref="L3:L8" si="1">G3/H3</f>
        <v>0.89213483146067418</v>
      </c>
    </row>
    <row r="4" spans="1:12" x14ac:dyDescent="0.2">
      <c r="A4" s="26" t="s">
        <v>300</v>
      </c>
      <c r="B4" s="41">
        <v>162.66999999999999</v>
      </c>
      <c r="C4" s="26">
        <v>300</v>
      </c>
      <c r="D4" s="26">
        <v>6</v>
      </c>
      <c r="E4" s="26">
        <v>2</v>
      </c>
      <c r="F4" s="41">
        <v>3.4</v>
      </c>
      <c r="G4" s="26">
        <v>5.0199999999999996</v>
      </c>
      <c r="H4" s="26">
        <v>5.45</v>
      </c>
      <c r="K4" s="40">
        <f t="shared" si="0"/>
        <v>0.62385321100917424</v>
      </c>
      <c r="L4" s="26">
        <f t="shared" si="1"/>
        <v>0.9211009174311926</v>
      </c>
    </row>
    <row r="5" spans="1:12" x14ac:dyDescent="0.2">
      <c r="A5" s="39" t="s">
        <v>136</v>
      </c>
      <c r="B5" s="41">
        <v>179</v>
      </c>
      <c r="C5" s="26">
        <v>300</v>
      </c>
      <c r="D5" s="26">
        <v>8</v>
      </c>
      <c r="E5" s="26">
        <v>2</v>
      </c>
      <c r="F5" s="41">
        <v>2.95</v>
      </c>
      <c r="G5" s="26">
        <v>4.12</v>
      </c>
      <c r="H5" s="26">
        <v>4.38</v>
      </c>
      <c r="K5" s="40">
        <f t="shared" si="0"/>
        <v>0.67351598173515992</v>
      </c>
      <c r="L5" s="26">
        <f t="shared" si="1"/>
        <v>0.94063926940639275</v>
      </c>
    </row>
    <row r="6" spans="1:12" x14ac:dyDescent="0.2">
      <c r="A6" s="39" t="s">
        <v>125</v>
      </c>
      <c r="B6" s="41">
        <v>179</v>
      </c>
      <c r="C6" s="26">
        <v>300</v>
      </c>
      <c r="D6" s="26">
        <v>8</v>
      </c>
      <c r="E6" s="26">
        <v>4</v>
      </c>
      <c r="F6" s="41">
        <v>3.55</v>
      </c>
      <c r="G6" s="26">
        <v>4.95</v>
      </c>
      <c r="H6" s="26">
        <v>5.55</v>
      </c>
      <c r="K6" s="40">
        <f t="shared" si="0"/>
        <v>0.63963963963963966</v>
      </c>
      <c r="L6" s="26">
        <f t="shared" si="1"/>
        <v>0.891891891891892</v>
      </c>
    </row>
    <row r="7" spans="1:12" x14ac:dyDescent="0.2">
      <c r="A7" s="26" t="s">
        <v>301</v>
      </c>
      <c r="B7" s="41">
        <v>201</v>
      </c>
      <c r="C7" s="26">
        <v>300</v>
      </c>
      <c r="D7" s="26">
        <v>8</v>
      </c>
      <c r="E7" s="26">
        <v>2</v>
      </c>
      <c r="F7" s="41">
        <v>2.88</v>
      </c>
      <c r="G7" s="26">
        <v>4.55</v>
      </c>
      <c r="H7" s="26">
        <v>4.8899999999999997</v>
      </c>
      <c r="K7" s="40">
        <f t="shared" si="0"/>
        <v>0.58895705521472397</v>
      </c>
      <c r="L7" s="26">
        <f t="shared" si="1"/>
        <v>0.93047034764826175</v>
      </c>
    </row>
    <row r="8" spans="1:12" x14ac:dyDescent="0.2">
      <c r="A8" s="26" t="s">
        <v>302</v>
      </c>
      <c r="B8" s="41">
        <v>191</v>
      </c>
      <c r="C8" s="26">
        <v>300</v>
      </c>
      <c r="D8" s="26">
        <v>8</v>
      </c>
      <c r="E8" s="26">
        <v>4</v>
      </c>
      <c r="F8" s="41">
        <v>3.75</v>
      </c>
      <c r="G8" s="26">
        <v>5.27</v>
      </c>
      <c r="H8" s="26">
        <v>6.08</v>
      </c>
      <c r="K8" s="40">
        <f t="shared" si="0"/>
        <v>0.61677631578947367</v>
      </c>
      <c r="L8" s="26">
        <f t="shared" si="1"/>
        <v>0.86677631578947356</v>
      </c>
    </row>
    <row r="9" spans="1:12" x14ac:dyDescent="0.2">
      <c r="A9" s="39" t="s">
        <v>144</v>
      </c>
      <c r="B9" s="41">
        <v>210</v>
      </c>
      <c r="C9" s="26">
        <v>300</v>
      </c>
      <c r="D9" s="26">
        <v>8</v>
      </c>
      <c r="E9" s="26">
        <v>2</v>
      </c>
      <c r="F9" s="41">
        <v>3.1</v>
      </c>
      <c r="G9" s="26">
        <v>4.45</v>
      </c>
      <c r="H9" s="26">
        <v>4.8499999999999996</v>
      </c>
    </row>
    <row r="10" spans="1:12" x14ac:dyDescent="0.2">
      <c r="A10" s="39" t="s">
        <v>148</v>
      </c>
      <c r="B10" s="41">
        <v>210</v>
      </c>
      <c r="C10" s="26">
        <v>300</v>
      </c>
      <c r="D10" s="26">
        <v>8</v>
      </c>
      <c r="E10" s="26">
        <v>4</v>
      </c>
      <c r="F10" s="41">
        <v>3.35</v>
      </c>
      <c r="G10" s="26">
        <v>5.65</v>
      </c>
      <c r="H10" s="26">
        <v>6.55</v>
      </c>
    </row>
    <row r="11" spans="1:12" x14ac:dyDescent="0.2">
      <c r="A11" s="39" t="s">
        <v>153</v>
      </c>
      <c r="B11" s="41">
        <v>251.5</v>
      </c>
      <c r="C11" s="26">
        <v>200</v>
      </c>
      <c r="D11" s="26">
        <v>12</v>
      </c>
      <c r="E11" s="26">
        <v>2</v>
      </c>
      <c r="F11" s="41">
        <v>2.92</v>
      </c>
      <c r="G11" s="26">
        <v>4.25</v>
      </c>
      <c r="H11" s="26">
        <v>4.9800000000000004</v>
      </c>
    </row>
    <row r="12" spans="1:12" x14ac:dyDescent="0.2">
      <c r="A12" s="39" t="s">
        <v>157</v>
      </c>
      <c r="B12" s="41">
        <v>251.5</v>
      </c>
      <c r="C12" s="26">
        <v>200</v>
      </c>
      <c r="D12" s="26">
        <v>12</v>
      </c>
      <c r="E12" s="26">
        <v>4</v>
      </c>
      <c r="F12" s="41">
        <v>3.45</v>
      </c>
      <c r="G12" s="26">
        <v>4.91</v>
      </c>
      <c r="H12" s="26">
        <v>5.65</v>
      </c>
    </row>
    <row r="13" spans="1:12" x14ac:dyDescent="0.2">
      <c r="A13" s="39" t="s">
        <v>159</v>
      </c>
      <c r="B13" s="41">
        <v>251.5</v>
      </c>
      <c r="C13" s="26">
        <v>200</v>
      </c>
      <c r="D13" s="26">
        <v>12</v>
      </c>
      <c r="E13" s="26">
        <v>6</v>
      </c>
      <c r="F13" s="41">
        <v>4.5</v>
      </c>
      <c r="G13" s="26">
        <v>6.33</v>
      </c>
      <c r="H13" s="26">
        <v>7.32</v>
      </c>
    </row>
    <row r="14" spans="1:12" x14ac:dyDescent="0.2">
      <c r="A14" s="26" t="s">
        <v>303</v>
      </c>
      <c r="B14" s="41">
        <v>314</v>
      </c>
      <c r="C14" s="26">
        <v>200</v>
      </c>
      <c r="D14" s="26">
        <v>12</v>
      </c>
      <c r="E14" s="26">
        <v>2</v>
      </c>
      <c r="F14" s="41">
        <v>3.35</v>
      </c>
      <c r="G14" s="26">
        <v>4.78</v>
      </c>
      <c r="H14" s="26">
        <v>5.45</v>
      </c>
    </row>
    <row r="15" spans="1:12" x14ac:dyDescent="0.2">
      <c r="A15" s="26" t="s">
        <v>304</v>
      </c>
      <c r="B15" s="41">
        <v>314</v>
      </c>
      <c r="C15" s="26">
        <v>200</v>
      </c>
      <c r="D15" s="26">
        <v>12</v>
      </c>
      <c r="E15" s="26">
        <v>4</v>
      </c>
      <c r="F15" s="41">
        <v>3.85</v>
      </c>
      <c r="G15" s="26">
        <v>5.48</v>
      </c>
      <c r="H15" s="26">
        <v>6.32</v>
      </c>
    </row>
    <row r="16" spans="1:12" x14ac:dyDescent="0.2">
      <c r="A16" s="26" t="s">
        <v>305</v>
      </c>
      <c r="B16" s="41">
        <v>314</v>
      </c>
      <c r="C16" s="26">
        <v>200</v>
      </c>
      <c r="D16" s="26">
        <v>12</v>
      </c>
      <c r="E16" s="26">
        <v>6</v>
      </c>
      <c r="F16" s="41">
        <v>5</v>
      </c>
      <c r="G16" s="26">
        <v>6.97</v>
      </c>
      <c r="H16" s="26">
        <v>8.08</v>
      </c>
    </row>
    <row r="17" spans="1:8" x14ac:dyDescent="0.2">
      <c r="A17" s="26" t="s">
        <v>306</v>
      </c>
      <c r="B17" s="41">
        <v>275</v>
      </c>
      <c r="C17" s="26">
        <v>100</v>
      </c>
      <c r="D17" s="26">
        <v>16</v>
      </c>
      <c r="E17" s="26">
        <v>4</v>
      </c>
      <c r="F17" s="41">
        <v>4.3499999999999996</v>
      </c>
      <c r="G17" s="26">
        <v>5.85</v>
      </c>
      <c r="H17" s="26">
        <v>6.05</v>
      </c>
    </row>
    <row r="18" spans="1:8" x14ac:dyDescent="0.2">
      <c r="A18" s="26" t="s">
        <v>307</v>
      </c>
      <c r="B18" s="41">
        <v>275</v>
      </c>
      <c r="C18" s="26">
        <v>100</v>
      </c>
      <c r="D18" s="26">
        <v>16</v>
      </c>
      <c r="E18" s="26">
        <v>6</v>
      </c>
      <c r="F18" s="41">
        <v>4.95</v>
      </c>
      <c r="G18" s="26">
        <v>6.95</v>
      </c>
      <c r="H18" s="26">
        <v>8.0500000000000007</v>
      </c>
    </row>
    <row r="19" spans="1:8" x14ac:dyDescent="0.2">
      <c r="A19" s="26" t="s">
        <v>308</v>
      </c>
      <c r="B19" s="41">
        <v>275</v>
      </c>
      <c r="C19" s="26">
        <v>100</v>
      </c>
      <c r="D19" s="26">
        <v>16</v>
      </c>
      <c r="E19" s="26">
        <v>8</v>
      </c>
      <c r="F19" s="41">
        <v>5.85</v>
      </c>
      <c r="G19" s="26">
        <v>7.95</v>
      </c>
      <c r="H19" s="26">
        <v>9.15</v>
      </c>
    </row>
    <row r="20" spans="1:8" x14ac:dyDescent="0.2">
      <c r="A20" s="39" t="s">
        <v>179</v>
      </c>
      <c r="B20" s="41">
        <v>338</v>
      </c>
      <c r="C20" s="26">
        <v>100</v>
      </c>
      <c r="D20" s="26">
        <v>16</v>
      </c>
      <c r="E20" s="26">
        <v>4</v>
      </c>
      <c r="F20" s="41">
        <v>5.85</v>
      </c>
      <c r="G20" s="26">
        <v>7.95</v>
      </c>
      <c r="H20" s="26">
        <v>9.15</v>
      </c>
    </row>
    <row r="21" spans="1:8" x14ac:dyDescent="0.2">
      <c r="A21" s="39" t="s">
        <v>180</v>
      </c>
      <c r="B21" s="41">
        <v>338</v>
      </c>
      <c r="C21" s="26">
        <v>100</v>
      </c>
      <c r="D21" s="26">
        <v>16</v>
      </c>
      <c r="E21" s="26">
        <v>6</v>
      </c>
      <c r="F21" s="41">
        <v>6.5</v>
      </c>
      <c r="G21" s="26">
        <v>8.8800000000000008</v>
      </c>
      <c r="H21" s="26">
        <v>10.32</v>
      </c>
    </row>
    <row r="22" spans="1:8" x14ac:dyDescent="0.2">
      <c r="A22" s="26" t="s">
        <v>183</v>
      </c>
      <c r="B22" s="41">
        <v>338</v>
      </c>
      <c r="C22" s="26">
        <v>100</v>
      </c>
      <c r="D22" s="26">
        <v>16</v>
      </c>
      <c r="E22" s="26">
        <v>8</v>
      </c>
      <c r="F22" s="41">
        <v>7.55</v>
      </c>
      <c r="G22" s="26">
        <v>10.31</v>
      </c>
      <c r="H22" s="26">
        <v>11.91</v>
      </c>
    </row>
    <row r="23" spans="1:8" x14ac:dyDescent="0.2">
      <c r="A23" s="26" t="s">
        <v>227</v>
      </c>
      <c r="B23" s="41">
        <v>425</v>
      </c>
      <c r="C23" s="26">
        <v>300</v>
      </c>
      <c r="D23" s="26">
        <v>8</v>
      </c>
      <c r="E23" s="26">
        <v>2</v>
      </c>
    </row>
    <row r="24" spans="1:8" x14ac:dyDescent="0.2">
      <c r="A24" s="26" t="s">
        <v>228</v>
      </c>
      <c r="B24" s="41">
        <v>425</v>
      </c>
      <c r="C24" s="26">
        <v>300</v>
      </c>
      <c r="D24" s="26">
        <v>8</v>
      </c>
      <c r="E24" s="26">
        <v>4</v>
      </c>
    </row>
  </sheetData>
  <phoneticPr fontId="25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Y63"/>
  <sheetViews>
    <sheetView zoomScale="116" workbookViewId="0">
      <selection activeCell="N9" sqref="N9"/>
    </sheetView>
  </sheetViews>
  <sheetFormatPr defaultColWidth="8" defaultRowHeight="12.75" x14ac:dyDescent="0.2"/>
  <cols>
    <col min="1" max="1" width="23.25" style="26" customWidth="1"/>
    <col min="2" max="2" width="14.25" style="26" customWidth="1"/>
    <col min="3" max="3" width="6.75" style="26" bestFit="1" customWidth="1"/>
    <col min="4" max="4" width="9.625" style="26" customWidth="1"/>
    <col min="5" max="5" width="12" style="26" bestFit="1" customWidth="1"/>
    <col min="6" max="6" width="18" style="26" bestFit="1" customWidth="1"/>
    <col min="7" max="7" width="15.625" style="26" bestFit="1" customWidth="1"/>
    <col min="8" max="8" width="9.75" style="26" bestFit="1" customWidth="1"/>
    <col min="9" max="9" width="10.5" style="26" bestFit="1" customWidth="1"/>
    <col min="10" max="10" width="3" style="26" bestFit="1" customWidth="1"/>
    <col min="11" max="13" width="8" style="26" customWidth="1"/>
    <col min="14" max="14" width="10.375" style="26" bestFit="1" customWidth="1"/>
    <col min="15" max="15" width="8" style="26" customWidth="1"/>
    <col min="16" max="16" width="9.75" style="26" customWidth="1"/>
    <col min="17" max="16384" width="8" style="26"/>
  </cols>
  <sheetData>
    <row r="1" spans="1:25" x14ac:dyDescent="0.2">
      <c r="A1" s="135" t="s">
        <v>101</v>
      </c>
    </row>
    <row r="2" spans="1:25" x14ac:dyDescent="0.2">
      <c r="A2" s="136" t="s">
        <v>102</v>
      </c>
      <c r="B2" s="137" t="s">
        <v>255</v>
      </c>
      <c r="C2" s="138"/>
      <c r="D2" s="138"/>
      <c r="E2" s="138"/>
      <c r="F2" s="138"/>
      <c r="G2" s="138"/>
    </row>
    <row r="3" spans="1:25" ht="22.5" customHeight="1" thickBot="1" x14ac:dyDescent="0.25">
      <c r="A3" s="26" t="s">
        <v>249</v>
      </c>
      <c r="B3" s="139"/>
      <c r="C3" s="140"/>
      <c r="D3" s="141"/>
      <c r="E3" s="27" t="s">
        <v>250</v>
      </c>
      <c r="F3" s="142"/>
      <c r="G3" s="143"/>
      <c r="I3" s="26" t="s">
        <v>103</v>
      </c>
      <c r="J3" s="144">
        <v>3</v>
      </c>
      <c r="L3" s="28" t="s">
        <v>104</v>
      </c>
      <c r="M3" s="29"/>
      <c r="N3" s="29"/>
      <c r="O3" s="29"/>
      <c r="P3" s="29"/>
    </row>
    <row r="4" spans="1:25" x14ac:dyDescent="0.2">
      <c r="A4" s="26" t="s">
        <v>105</v>
      </c>
      <c r="B4" s="145" t="s">
        <v>112</v>
      </c>
      <c r="D4" s="146">
        <f>VLOOKUP(B4,I3:J5,2,FALSE)</f>
        <v>5</v>
      </c>
      <c r="I4" s="26" t="s">
        <v>106</v>
      </c>
      <c r="J4" s="144">
        <v>4</v>
      </c>
      <c r="P4" s="147" t="s">
        <v>107</v>
      </c>
    </row>
    <row r="5" spans="1:25" x14ac:dyDescent="0.2">
      <c r="A5" s="27" t="s">
        <v>108</v>
      </c>
      <c r="B5" s="148">
        <v>33</v>
      </c>
      <c r="C5" s="26">
        <v>49.5</v>
      </c>
      <c r="D5" s="149">
        <f>B5/12</f>
        <v>2.75</v>
      </c>
      <c r="E5" s="26" t="s">
        <v>109</v>
      </c>
      <c r="F5" s="27" t="s">
        <v>110</v>
      </c>
      <c r="G5" s="148" t="s">
        <v>193</v>
      </c>
      <c r="I5" s="26" t="s">
        <v>112</v>
      </c>
      <c r="J5" s="144">
        <v>5</v>
      </c>
      <c r="P5" s="150" t="s">
        <v>113</v>
      </c>
    </row>
    <row r="6" spans="1:25" x14ac:dyDescent="0.2">
      <c r="A6" s="27" t="s">
        <v>114</v>
      </c>
      <c r="B6" s="148">
        <v>78</v>
      </c>
      <c r="C6" s="26" t="s">
        <v>115</v>
      </c>
      <c r="D6" s="149">
        <f>B6/12</f>
        <v>6.5</v>
      </c>
      <c r="E6" s="26" t="s">
        <v>109</v>
      </c>
      <c r="F6" s="26" t="s">
        <v>116</v>
      </c>
      <c r="G6" s="148" t="s">
        <v>117</v>
      </c>
      <c r="K6" s="26" t="s">
        <v>118</v>
      </c>
      <c r="L6" s="26" t="s">
        <v>119</v>
      </c>
      <c r="M6" s="26" t="s">
        <v>120</v>
      </c>
      <c r="N6" s="26" t="s">
        <v>121</v>
      </c>
      <c r="O6" s="26" t="s">
        <v>122</v>
      </c>
      <c r="P6" s="150" t="s">
        <v>123</v>
      </c>
    </row>
    <row r="7" spans="1:25" x14ac:dyDescent="0.2">
      <c r="A7" s="27" t="s">
        <v>124</v>
      </c>
      <c r="B7" s="148" t="s">
        <v>133</v>
      </c>
      <c r="C7" s="151"/>
      <c r="D7" s="151"/>
      <c r="E7" s="151"/>
      <c r="F7" s="152" t="s">
        <v>126</v>
      </c>
      <c r="G7" s="148" t="s">
        <v>187</v>
      </c>
      <c r="I7" s="26" t="s">
        <v>128</v>
      </c>
      <c r="K7" s="153">
        <v>1.84</v>
      </c>
      <c r="L7" s="153">
        <f t="shared" ref="L7:L26" si="0">(M7+K7)/2</f>
        <v>2.3353846153846156</v>
      </c>
      <c r="M7" s="153">
        <f t="shared" ref="M7:M26" si="1">K7/0.65</f>
        <v>2.8307692307692309</v>
      </c>
      <c r="N7" s="26">
        <v>0.59599999999999997</v>
      </c>
      <c r="O7" s="26">
        <v>300</v>
      </c>
      <c r="P7" s="154">
        <v>0.61</v>
      </c>
      <c r="R7" s="155" t="s">
        <v>129</v>
      </c>
      <c r="S7" s="156">
        <v>300</v>
      </c>
      <c r="T7" s="26">
        <v>1</v>
      </c>
      <c r="W7" s="155" t="s">
        <v>129</v>
      </c>
      <c r="X7" s="157">
        <v>0.19</v>
      </c>
      <c r="Y7" s="26" t="s">
        <v>130</v>
      </c>
    </row>
    <row r="8" spans="1:25" x14ac:dyDescent="0.2">
      <c r="A8" s="27" t="s">
        <v>131</v>
      </c>
      <c r="B8" s="158" t="s">
        <v>134</v>
      </c>
      <c r="I8" s="26" t="s">
        <v>133</v>
      </c>
      <c r="K8" s="153">
        <v>1.92</v>
      </c>
      <c r="L8" s="153">
        <f t="shared" si="0"/>
        <v>2.436923076923077</v>
      </c>
      <c r="M8" s="153">
        <f t="shared" si="1"/>
        <v>2.9538461538461536</v>
      </c>
      <c r="N8" s="26">
        <v>0.59599999999999997</v>
      </c>
      <c r="O8" s="26">
        <v>300</v>
      </c>
      <c r="P8" s="154">
        <v>0.68</v>
      </c>
      <c r="R8" s="159" t="s">
        <v>134</v>
      </c>
      <c r="S8" s="160">
        <v>300</v>
      </c>
      <c r="T8" s="26">
        <v>1</v>
      </c>
      <c r="W8" s="159" t="s">
        <v>134</v>
      </c>
      <c r="X8" s="161">
        <v>0.19</v>
      </c>
      <c r="Y8" s="26" t="s">
        <v>130</v>
      </c>
    </row>
    <row r="9" spans="1:25" x14ac:dyDescent="0.2">
      <c r="A9" s="27" t="s">
        <v>135</v>
      </c>
      <c r="B9" s="148">
        <v>1</v>
      </c>
      <c r="I9" s="26" t="s">
        <v>136</v>
      </c>
      <c r="K9" s="153">
        <v>2.0499999999999998</v>
      </c>
      <c r="L9" s="153">
        <f t="shared" si="0"/>
        <v>2.6019230769230766</v>
      </c>
      <c r="M9" s="153">
        <f t="shared" si="1"/>
        <v>3.1538461538461533</v>
      </c>
      <c r="N9" s="26">
        <v>0.66</v>
      </c>
      <c r="O9" s="26">
        <v>300</v>
      </c>
      <c r="P9" s="154">
        <v>0.99</v>
      </c>
      <c r="R9" s="159" t="s">
        <v>132</v>
      </c>
      <c r="S9" s="160">
        <v>300</v>
      </c>
      <c r="T9" s="26">
        <v>1</v>
      </c>
      <c r="W9" s="159" t="s">
        <v>132</v>
      </c>
      <c r="X9" s="161">
        <v>0.33</v>
      </c>
      <c r="Y9" s="26" t="s">
        <v>130</v>
      </c>
    </row>
    <row r="10" spans="1:25" x14ac:dyDescent="0.2">
      <c r="I10" s="26" t="s">
        <v>125</v>
      </c>
      <c r="K10" s="153">
        <v>2.95</v>
      </c>
      <c r="L10" s="153">
        <f t="shared" si="0"/>
        <v>3.7442307692307693</v>
      </c>
      <c r="M10" s="153">
        <f t="shared" si="1"/>
        <v>4.5384615384615383</v>
      </c>
      <c r="N10" s="26">
        <v>0.98599999999999999</v>
      </c>
      <c r="O10" s="26">
        <v>300</v>
      </c>
      <c r="P10" s="154">
        <v>0.99</v>
      </c>
      <c r="R10" s="159" t="s">
        <v>137</v>
      </c>
      <c r="S10" s="160">
        <v>300</v>
      </c>
      <c r="T10" s="26">
        <v>1</v>
      </c>
      <c r="W10" s="159" t="s">
        <v>137</v>
      </c>
      <c r="X10" s="161">
        <v>0.33</v>
      </c>
      <c r="Y10" s="26" t="s">
        <v>130</v>
      </c>
    </row>
    <row r="11" spans="1:25" x14ac:dyDescent="0.2">
      <c r="A11" s="26" t="s">
        <v>251</v>
      </c>
      <c r="B11" s="162">
        <f>VLOOKUP(B7,I7:M26,D4,FALSE)</f>
        <v>2.9538461538461536</v>
      </c>
      <c r="I11" s="26" t="s">
        <v>138</v>
      </c>
      <c r="K11" s="153">
        <v>2.2000000000000002</v>
      </c>
      <c r="L11" s="153">
        <f t="shared" si="0"/>
        <v>2.7923076923076922</v>
      </c>
      <c r="M11" s="153">
        <f t="shared" si="1"/>
        <v>3.3846153846153846</v>
      </c>
      <c r="N11" s="26">
        <v>0.66</v>
      </c>
      <c r="O11" s="26">
        <v>300</v>
      </c>
      <c r="P11" s="154">
        <v>1.1100000000000001</v>
      </c>
      <c r="R11" s="159" t="s">
        <v>139</v>
      </c>
      <c r="S11" s="160">
        <v>300</v>
      </c>
      <c r="T11" s="26">
        <v>1</v>
      </c>
      <c r="W11" s="159" t="s">
        <v>139</v>
      </c>
      <c r="X11" s="161">
        <v>0.33</v>
      </c>
      <c r="Y11" s="26" t="s">
        <v>130</v>
      </c>
    </row>
    <row r="12" spans="1:25" x14ac:dyDescent="0.2">
      <c r="A12" s="163" t="s">
        <v>140</v>
      </c>
      <c r="B12" s="163">
        <f>VLOOKUP(G6,A47:E49,3,FALSE)</f>
        <v>38</v>
      </c>
      <c r="C12" s="163" t="s">
        <v>115</v>
      </c>
      <c r="D12" s="149">
        <f>B12/12</f>
        <v>3.1666666666666665</v>
      </c>
      <c r="E12" s="26" t="s">
        <v>109</v>
      </c>
      <c r="I12" s="26" t="s">
        <v>141</v>
      </c>
      <c r="K12" s="153">
        <v>3.25</v>
      </c>
      <c r="L12" s="153">
        <f t="shared" si="0"/>
        <v>4.125</v>
      </c>
      <c r="M12" s="153">
        <f t="shared" si="1"/>
        <v>5</v>
      </c>
      <c r="N12" s="26">
        <v>0.98599999999999999</v>
      </c>
      <c r="O12" s="26">
        <v>300</v>
      </c>
      <c r="P12" s="154">
        <v>1.1100000000000001</v>
      </c>
      <c r="R12" s="159" t="s">
        <v>142</v>
      </c>
      <c r="S12" s="160">
        <v>200</v>
      </c>
      <c r="T12" s="26">
        <v>1.5</v>
      </c>
      <c r="W12" s="159" t="s">
        <v>142</v>
      </c>
      <c r="X12" s="161">
        <v>0.75</v>
      </c>
      <c r="Y12" s="26" t="s">
        <v>130</v>
      </c>
    </row>
    <row r="13" spans="1:25" x14ac:dyDescent="0.2">
      <c r="A13" s="163" t="s">
        <v>143</v>
      </c>
      <c r="B13" s="163">
        <f>VLOOKUP(G6,A47:E49,4,FALSE)</f>
        <v>81</v>
      </c>
      <c r="C13" s="163" t="s">
        <v>115</v>
      </c>
      <c r="D13" s="149">
        <f>B13/12</f>
        <v>6.75</v>
      </c>
      <c r="E13" s="26" t="s">
        <v>109</v>
      </c>
      <c r="I13" s="26" t="s">
        <v>144</v>
      </c>
      <c r="K13" s="153">
        <v>2.7</v>
      </c>
      <c r="L13" s="153">
        <f t="shared" si="0"/>
        <v>3.4269230769230772</v>
      </c>
      <c r="M13" s="153">
        <f t="shared" si="1"/>
        <v>4.1538461538461542</v>
      </c>
      <c r="N13" s="26">
        <v>0.66</v>
      </c>
      <c r="O13" s="26">
        <v>300</v>
      </c>
      <c r="P13" s="154">
        <v>1.34</v>
      </c>
      <c r="R13" s="159" t="s">
        <v>145</v>
      </c>
      <c r="S13" s="160">
        <v>200</v>
      </c>
      <c r="T13" s="26">
        <v>1.5</v>
      </c>
      <c r="W13" s="159" t="s">
        <v>145</v>
      </c>
      <c r="X13" s="161">
        <v>0.75</v>
      </c>
      <c r="Y13" s="26" t="s">
        <v>130</v>
      </c>
    </row>
    <row r="14" spans="1:25" x14ac:dyDescent="0.2">
      <c r="A14" s="26" t="s">
        <v>146</v>
      </c>
      <c r="B14" s="26">
        <f>ROUNDUP(B12*B13/144,0)</f>
        <v>22</v>
      </c>
      <c r="C14" s="26" t="s">
        <v>147</v>
      </c>
      <c r="I14" s="26" t="s">
        <v>148</v>
      </c>
      <c r="K14" s="153">
        <v>3.95</v>
      </c>
      <c r="L14" s="153">
        <f t="shared" si="0"/>
        <v>5.013461538461538</v>
      </c>
      <c r="M14" s="153">
        <f t="shared" si="1"/>
        <v>6.0769230769230766</v>
      </c>
      <c r="N14" s="26">
        <v>0.98599999999999999</v>
      </c>
      <c r="O14" s="26">
        <v>300</v>
      </c>
      <c r="P14" s="154">
        <v>1.34</v>
      </c>
      <c r="R14" s="159" t="s">
        <v>149</v>
      </c>
      <c r="S14" s="160">
        <v>100</v>
      </c>
      <c r="T14" s="26">
        <v>2</v>
      </c>
      <c r="W14" s="159" t="s">
        <v>149</v>
      </c>
      <c r="X14" s="161">
        <v>1.33</v>
      </c>
      <c r="Y14" s="26" t="s">
        <v>130</v>
      </c>
    </row>
    <row r="15" spans="1:25" x14ac:dyDescent="0.2">
      <c r="A15" s="164" t="s">
        <v>150</v>
      </c>
      <c r="B15" s="164">
        <f>VLOOKUP(G6,A47:E49,2,FALSE)</f>
        <v>9</v>
      </c>
      <c r="C15" s="164" t="s">
        <v>151</v>
      </c>
      <c r="F15" s="165" t="s">
        <v>152</v>
      </c>
      <c r="G15" s="166">
        <f>B13*B15/12*B9</f>
        <v>60.75</v>
      </c>
      <c r="I15" s="26" t="s">
        <v>153</v>
      </c>
      <c r="K15" s="153">
        <v>2.8</v>
      </c>
      <c r="L15" s="153">
        <f t="shared" si="0"/>
        <v>3.5538461538461537</v>
      </c>
      <c r="M15" s="153">
        <f t="shared" si="1"/>
        <v>4.3076923076923075</v>
      </c>
      <c r="N15" s="26">
        <v>1</v>
      </c>
      <c r="O15" s="26">
        <v>200</v>
      </c>
      <c r="P15" s="154">
        <v>2.3199999999999998</v>
      </c>
      <c r="R15" s="167" t="s">
        <v>154</v>
      </c>
      <c r="S15" s="168">
        <v>100</v>
      </c>
      <c r="T15" s="26">
        <v>2</v>
      </c>
      <c r="W15" s="167" t="s">
        <v>154</v>
      </c>
      <c r="X15" s="169">
        <v>1.33</v>
      </c>
      <c r="Y15" s="26" t="s">
        <v>130</v>
      </c>
    </row>
    <row r="16" spans="1:25" x14ac:dyDescent="0.2">
      <c r="A16" s="164" t="s">
        <v>155</v>
      </c>
      <c r="B16" s="164">
        <f>IF(G5=I36,0,VLOOKUP(G6,A47:E49,5,FALSE))</f>
        <v>38</v>
      </c>
      <c r="C16" s="164" t="s">
        <v>115</v>
      </c>
      <c r="D16" s="149">
        <f>B16/12</f>
        <v>3.1666666666666665</v>
      </c>
      <c r="E16" s="26" t="s">
        <v>109</v>
      </c>
      <c r="F16" s="170" t="s">
        <v>156</v>
      </c>
      <c r="G16" s="171">
        <f>G15/B54</f>
        <v>0.20250000000000001</v>
      </c>
      <c r="I16" s="26" t="s">
        <v>157</v>
      </c>
      <c r="K16" s="153">
        <v>3.45</v>
      </c>
      <c r="L16" s="153">
        <f t="shared" si="0"/>
        <v>4.3788461538461538</v>
      </c>
      <c r="M16" s="153">
        <f t="shared" si="1"/>
        <v>5.3076923076923075</v>
      </c>
      <c r="N16" s="26">
        <v>1.25</v>
      </c>
      <c r="O16" s="26">
        <v>200</v>
      </c>
      <c r="P16" s="154">
        <v>2.3199999999999998</v>
      </c>
      <c r="T16" s="30" t="s">
        <v>158</v>
      </c>
      <c r="X16" s="172"/>
    </row>
    <row r="17" spans="1:25" x14ac:dyDescent="0.2">
      <c r="A17" s="26" t="s">
        <v>252</v>
      </c>
      <c r="B17" s="162">
        <f>VLOOKUP(G5,I33:M36,D4,FALSE)</f>
        <v>11.54</v>
      </c>
      <c r="I17" s="26" t="s">
        <v>159</v>
      </c>
      <c r="K17" s="153">
        <f>[2]Rollinfo!F13</f>
        <v>4.5</v>
      </c>
      <c r="L17" s="153">
        <f t="shared" si="0"/>
        <v>5.7115384615384617</v>
      </c>
      <c r="M17" s="153">
        <f t="shared" si="1"/>
        <v>6.9230769230769225</v>
      </c>
      <c r="N17" s="26">
        <v>1.5</v>
      </c>
      <c r="O17" s="26">
        <v>200</v>
      </c>
      <c r="P17" s="154">
        <v>2.3199999999999998</v>
      </c>
      <c r="T17" s="173">
        <f>VLOOKUP(B8,R7:T15,3,FALSE)</f>
        <v>1</v>
      </c>
      <c r="U17" s="155"/>
      <c r="V17" s="174"/>
      <c r="W17" s="175" t="s">
        <v>160</v>
      </c>
      <c r="X17" s="176" t="e">
        <f>VLOOKUP(K16,W7:X15,2,FALSE)</f>
        <v>#N/A</v>
      </c>
      <c r="Y17" s="31" t="s">
        <v>130</v>
      </c>
    </row>
    <row r="18" spans="1:25" x14ac:dyDescent="0.2">
      <c r="A18" s="26" t="s">
        <v>253</v>
      </c>
      <c r="B18" s="177">
        <f>ROUNDUP(D16/10,0)*B9</f>
        <v>1</v>
      </c>
      <c r="C18" s="26" t="s">
        <v>254</v>
      </c>
      <c r="I18" s="26" t="s">
        <v>161</v>
      </c>
      <c r="K18" s="153">
        <v>3.1</v>
      </c>
      <c r="L18" s="153">
        <f t="shared" si="0"/>
        <v>3.9346153846153848</v>
      </c>
      <c r="M18" s="153">
        <f t="shared" si="1"/>
        <v>4.7692307692307692</v>
      </c>
      <c r="N18" s="26">
        <v>1</v>
      </c>
      <c r="O18" s="26">
        <v>200</v>
      </c>
      <c r="P18" s="154">
        <v>2.6</v>
      </c>
      <c r="R18" s="156" t="s">
        <v>162</v>
      </c>
      <c r="U18" s="167"/>
      <c r="V18" s="178"/>
      <c r="W18" s="179" t="s">
        <v>163</v>
      </c>
      <c r="X18" s="180" t="e">
        <f>VLOOKUP(N25,R24:S27,2,FALSE)</f>
        <v>#N/A</v>
      </c>
      <c r="Y18" s="32" t="s">
        <v>130</v>
      </c>
    </row>
    <row r="19" spans="1:25" x14ac:dyDescent="0.2">
      <c r="I19" s="26" t="s">
        <v>164</v>
      </c>
      <c r="K19" s="153">
        <v>3.85</v>
      </c>
      <c r="L19" s="153">
        <f t="shared" si="0"/>
        <v>4.8865384615384615</v>
      </c>
      <c r="M19" s="153">
        <f t="shared" si="1"/>
        <v>5.9230769230769234</v>
      </c>
      <c r="N19" s="26">
        <v>1.25</v>
      </c>
      <c r="O19" s="26">
        <v>200</v>
      </c>
      <c r="P19" s="154">
        <v>2.6</v>
      </c>
      <c r="R19" s="160" t="s">
        <v>165</v>
      </c>
      <c r="X19" s="172"/>
    </row>
    <row r="20" spans="1:25" ht="15.75" x14ac:dyDescent="0.25">
      <c r="A20" s="26" t="s">
        <v>166</v>
      </c>
      <c r="B20" s="33">
        <f>$B$11*$B$14</f>
        <v>64.984615384615381</v>
      </c>
      <c r="E20" s="34" t="s">
        <v>167</v>
      </c>
      <c r="I20" s="26" t="s">
        <v>168</v>
      </c>
      <c r="K20" s="153">
        <v>5.0999999999999996</v>
      </c>
      <c r="L20" s="153">
        <f t="shared" si="0"/>
        <v>6.4730769230769223</v>
      </c>
      <c r="M20" s="153">
        <f t="shared" si="1"/>
        <v>7.8461538461538449</v>
      </c>
      <c r="N20" s="26">
        <v>1.5</v>
      </c>
      <c r="O20" s="26">
        <v>200</v>
      </c>
      <c r="P20" s="154">
        <v>2.6</v>
      </c>
    </row>
    <row r="21" spans="1:25" ht="15.75" x14ac:dyDescent="0.25">
      <c r="A21" s="26" t="s">
        <v>169</v>
      </c>
      <c r="B21" s="33">
        <f>$B$17*$B$16/12</f>
        <v>36.543333333333329</v>
      </c>
      <c r="E21" s="34" t="s">
        <v>170</v>
      </c>
      <c r="F21" s="35">
        <f>(B12-B5)/2</f>
        <v>2.5</v>
      </c>
      <c r="G21" s="26" t="s">
        <v>115</v>
      </c>
      <c r="I21" s="26" t="s">
        <v>171</v>
      </c>
      <c r="K21" s="153">
        <v>4.1500000000000004</v>
      </c>
      <c r="L21" s="153">
        <f t="shared" si="0"/>
        <v>5.2673076923076927</v>
      </c>
      <c r="M21" s="153">
        <f t="shared" si="1"/>
        <v>6.384615384615385</v>
      </c>
      <c r="N21" s="26">
        <v>1.2</v>
      </c>
      <c r="O21" s="26">
        <v>100</v>
      </c>
      <c r="P21" s="154">
        <v>4.21</v>
      </c>
    </row>
    <row r="22" spans="1:25" ht="15.75" x14ac:dyDescent="0.25">
      <c r="A22" s="26" t="s">
        <v>172</v>
      </c>
      <c r="B22" s="33">
        <f>VLOOKUP($G$7,$I$28:$M$29,$D$4,FALSE)</f>
        <v>0</v>
      </c>
      <c r="C22" s="26" t="s">
        <v>173</v>
      </c>
      <c r="I22" s="26" t="s">
        <v>174</v>
      </c>
      <c r="K22" s="153">
        <v>5</v>
      </c>
      <c r="L22" s="153">
        <f t="shared" si="0"/>
        <v>6.3461538461538458</v>
      </c>
      <c r="M22" s="153">
        <f t="shared" si="1"/>
        <v>7.6923076923076916</v>
      </c>
      <c r="N22" s="26">
        <v>1.65</v>
      </c>
      <c r="O22" s="26">
        <v>100</v>
      </c>
      <c r="P22" s="154">
        <v>4.21</v>
      </c>
    </row>
    <row r="23" spans="1:25" ht="15" x14ac:dyDescent="0.25">
      <c r="A23" s="36" t="s">
        <v>175</v>
      </c>
      <c r="B23" s="37"/>
      <c r="C23" s="36" t="s">
        <v>176</v>
      </c>
      <c r="D23" s="36"/>
      <c r="E23" s="36"/>
      <c r="I23" s="26" t="s">
        <v>177</v>
      </c>
      <c r="K23" s="153">
        <v>6.15</v>
      </c>
      <c r="L23" s="153">
        <f t="shared" si="0"/>
        <v>7.805769230769231</v>
      </c>
      <c r="M23" s="153">
        <f t="shared" si="1"/>
        <v>9.4615384615384617</v>
      </c>
      <c r="N23" s="26">
        <v>2</v>
      </c>
      <c r="O23" s="26">
        <v>100</v>
      </c>
      <c r="P23" s="154">
        <v>4.21</v>
      </c>
    </row>
    <row r="24" spans="1:25" ht="15.75" x14ac:dyDescent="0.25">
      <c r="A24" s="26" t="s">
        <v>178</v>
      </c>
      <c r="B24" s="38">
        <f>SUM(B20:B23)</f>
        <v>101.5279487179487</v>
      </c>
      <c r="C24" s="29"/>
      <c r="D24" s="28" t="s">
        <v>104</v>
      </c>
      <c r="E24" s="29"/>
      <c r="F24" s="29"/>
      <c r="G24" s="29"/>
      <c r="H24" s="39"/>
      <c r="I24" s="26" t="s">
        <v>179</v>
      </c>
      <c r="K24" s="153">
        <v>4.63</v>
      </c>
      <c r="L24" s="153">
        <f t="shared" si="0"/>
        <v>5.8765384615384608</v>
      </c>
      <c r="M24" s="153">
        <f t="shared" si="1"/>
        <v>7.1230769230769226</v>
      </c>
      <c r="N24" s="26">
        <v>1.2</v>
      </c>
      <c r="O24" s="26">
        <v>100</v>
      </c>
      <c r="P24" s="154">
        <v>4.72</v>
      </c>
    </row>
    <row r="25" spans="1:25" x14ac:dyDescent="0.2">
      <c r="I25" s="26" t="s">
        <v>180</v>
      </c>
      <c r="K25" s="153">
        <v>5.57</v>
      </c>
      <c r="L25" s="153">
        <f t="shared" si="0"/>
        <v>7.0696153846153846</v>
      </c>
      <c r="M25" s="153">
        <f t="shared" si="1"/>
        <v>8.569230769230769</v>
      </c>
      <c r="N25" s="26">
        <v>1.65</v>
      </c>
      <c r="O25" s="26">
        <v>100</v>
      </c>
      <c r="P25" s="154">
        <v>4.72</v>
      </c>
    </row>
    <row r="26" spans="1:25" ht="13.5" thickBot="1" x14ac:dyDescent="0.25">
      <c r="A26" s="30" t="s">
        <v>181</v>
      </c>
      <c r="B26" s="181">
        <f>$B$14*$B$51</f>
        <v>13.112</v>
      </c>
      <c r="C26" s="30" t="s">
        <v>182</v>
      </c>
      <c r="I26" s="26" t="s">
        <v>183</v>
      </c>
      <c r="K26" s="153">
        <v>6.85</v>
      </c>
      <c r="L26" s="153">
        <f t="shared" si="0"/>
        <v>8.694230769230769</v>
      </c>
      <c r="M26" s="153">
        <f t="shared" si="1"/>
        <v>10.538461538461538</v>
      </c>
      <c r="N26" s="26">
        <v>2</v>
      </c>
      <c r="O26" s="26">
        <v>100</v>
      </c>
      <c r="P26" s="182">
        <v>4.72</v>
      </c>
    </row>
    <row r="27" spans="1:25" x14ac:dyDescent="0.2">
      <c r="A27" s="30" t="s">
        <v>184</v>
      </c>
      <c r="B27" s="181">
        <f>$B$52*$B$16/12</f>
        <v>5.0666666666666673</v>
      </c>
      <c r="C27" s="30" t="s">
        <v>182</v>
      </c>
    </row>
    <row r="28" spans="1:25" x14ac:dyDescent="0.2">
      <c r="A28" s="30" t="s">
        <v>185</v>
      </c>
      <c r="B28" s="40">
        <f>IF(G7="yes",20,0)</f>
        <v>0</v>
      </c>
      <c r="C28" s="30" t="s">
        <v>182</v>
      </c>
      <c r="I28" s="26" t="s">
        <v>127</v>
      </c>
      <c r="K28" s="41">
        <v>63.5</v>
      </c>
      <c r="L28" s="41">
        <v>81.5</v>
      </c>
      <c r="M28" s="41">
        <v>95</v>
      </c>
    </row>
    <row r="29" spans="1:25" x14ac:dyDescent="0.2">
      <c r="A29" s="164" t="s">
        <v>186</v>
      </c>
      <c r="B29" s="183">
        <f>SUM(B26:B28)</f>
        <v>18.178666666666668</v>
      </c>
      <c r="C29" s="164" t="s">
        <v>182</v>
      </c>
      <c r="I29" s="26" t="s">
        <v>187</v>
      </c>
      <c r="K29" s="26">
        <v>0</v>
      </c>
      <c r="L29" s="26">
        <v>0</v>
      </c>
      <c r="M29" s="26">
        <v>0</v>
      </c>
    </row>
    <row r="31" spans="1:25" ht="15.75" x14ac:dyDescent="0.25">
      <c r="A31" s="42" t="s">
        <v>188</v>
      </c>
      <c r="B31" s="43"/>
    </row>
    <row r="32" spans="1:25" ht="15" x14ac:dyDescent="0.2">
      <c r="A32" s="43" t="s">
        <v>189</v>
      </c>
      <c r="B32" s="184">
        <v>10</v>
      </c>
    </row>
    <row r="33" spans="1:14" ht="15" x14ac:dyDescent="0.2">
      <c r="A33" s="43" t="s">
        <v>190</v>
      </c>
      <c r="B33" s="184">
        <f>K49*G16+K49</f>
        <v>6.0125000000000002</v>
      </c>
      <c r="I33" s="26" t="s">
        <v>191</v>
      </c>
      <c r="K33" s="162">
        <f>M33*0.65</f>
        <v>4.3745000000000003</v>
      </c>
      <c r="L33" s="162">
        <f>0.85*M33</f>
        <v>5.7205000000000004</v>
      </c>
      <c r="M33" s="162">
        <v>6.73</v>
      </c>
      <c r="N33" s="149">
        <v>1.5</v>
      </c>
    </row>
    <row r="34" spans="1:14" ht="15" x14ac:dyDescent="0.2">
      <c r="A34" s="43" t="s">
        <v>192</v>
      </c>
      <c r="B34" s="184">
        <f>VLOOKUP(B13,K40:L43,2)*B9*B15/60*T17</f>
        <v>8.25</v>
      </c>
      <c r="I34" s="26" t="s">
        <v>193</v>
      </c>
      <c r="K34" s="162">
        <f>M34*0.65</f>
        <v>7.5009999999999994</v>
      </c>
      <c r="L34" s="162">
        <f>0.85*M34</f>
        <v>9.8089999999999993</v>
      </c>
      <c r="M34" s="162">
        <v>11.54</v>
      </c>
      <c r="N34" s="149">
        <v>1.6</v>
      </c>
    </row>
    <row r="35" spans="1:14" ht="15" x14ac:dyDescent="0.2">
      <c r="A35" s="43" t="s">
        <v>194</v>
      </c>
      <c r="B35" s="184">
        <f>B18*K46</f>
        <v>5</v>
      </c>
      <c r="I35" s="26" t="s">
        <v>111</v>
      </c>
      <c r="K35" s="162">
        <f>M35*0.65</f>
        <v>9.7174999999999994</v>
      </c>
      <c r="L35" s="162">
        <f>0.85*M35</f>
        <v>12.7075</v>
      </c>
      <c r="M35" s="162">
        <v>14.95</v>
      </c>
      <c r="N35" s="185">
        <v>2.5</v>
      </c>
    </row>
    <row r="36" spans="1:14" ht="15" x14ac:dyDescent="0.2">
      <c r="A36" s="43" t="s">
        <v>195</v>
      </c>
      <c r="B36" s="184">
        <f>B16*K52/12*B9</f>
        <v>0.79166666666666663</v>
      </c>
      <c r="I36" s="26" t="s">
        <v>196</v>
      </c>
      <c r="K36" s="41">
        <v>0</v>
      </c>
      <c r="L36" s="41">
        <v>0</v>
      </c>
      <c r="M36" s="41">
        <v>0</v>
      </c>
      <c r="N36" s="149">
        <v>0</v>
      </c>
    </row>
    <row r="38" spans="1:14" ht="15.75" x14ac:dyDescent="0.25">
      <c r="A38" s="44" t="s">
        <v>197</v>
      </c>
      <c r="B38" s="186">
        <f>SUM(B32:B37)</f>
        <v>30.054166666666667</v>
      </c>
      <c r="C38" s="42" t="s">
        <v>198</v>
      </c>
    </row>
    <row r="39" spans="1:14" ht="15.75" x14ac:dyDescent="0.25">
      <c r="A39" s="45" t="s">
        <v>199</v>
      </c>
      <c r="B39" s="186">
        <f>B38/60</f>
        <v>0.50090277777777781</v>
      </c>
      <c r="C39" s="42" t="s">
        <v>200</v>
      </c>
      <c r="F39" s="46"/>
      <c r="K39" s="27" t="s">
        <v>201</v>
      </c>
      <c r="L39" s="27" t="s">
        <v>202</v>
      </c>
    </row>
    <row r="40" spans="1:14" x14ac:dyDescent="0.2">
      <c r="F40" s="46"/>
      <c r="K40" s="26">
        <v>0</v>
      </c>
      <c r="L40" s="26">
        <v>45</v>
      </c>
      <c r="M40" s="26" t="s">
        <v>203</v>
      </c>
    </row>
    <row r="41" spans="1:14" x14ac:dyDescent="0.2">
      <c r="F41" s="46"/>
      <c r="K41" s="26">
        <v>60</v>
      </c>
      <c r="L41" s="26">
        <v>55</v>
      </c>
      <c r="M41" s="26" t="s">
        <v>203</v>
      </c>
    </row>
    <row r="42" spans="1:14" x14ac:dyDescent="0.2">
      <c r="A42" s="47" t="s">
        <v>204</v>
      </c>
      <c r="B42" s="187">
        <f>VLOOKUP(B7,[2]Rollinfo!A3:E22,5,FALSE)</f>
        <v>2</v>
      </c>
      <c r="F42" s="46"/>
      <c r="K42" s="26">
        <v>120</v>
      </c>
      <c r="L42" s="26">
        <v>65</v>
      </c>
      <c r="M42" s="26" t="s">
        <v>203</v>
      </c>
    </row>
    <row r="43" spans="1:14" x14ac:dyDescent="0.2">
      <c r="A43" s="48" t="s">
        <v>205</v>
      </c>
      <c r="B43" s="188">
        <f>VLOOKUP(B7,[2]Rollinfo!A3:D22,4,FALSE)</f>
        <v>6</v>
      </c>
      <c r="D43" s="49"/>
      <c r="F43" s="46"/>
      <c r="K43" s="26">
        <v>180</v>
      </c>
      <c r="L43" s="26">
        <v>75</v>
      </c>
      <c r="M43" s="26" t="s">
        <v>203</v>
      </c>
    </row>
    <row r="44" spans="1:14" x14ac:dyDescent="0.2">
      <c r="A44" s="50" t="s">
        <v>206</v>
      </c>
      <c r="B44" s="189">
        <f>B43-B42</f>
        <v>4</v>
      </c>
      <c r="D44" s="49"/>
      <c r="F44" s="46"/>
    </row>
    <row r="45" spans="1:14" x14ac:dyDescent="0.2">
      <c r="D45" s="49"/>
      <c r="F45" s="46"/>
      <c r="K45" s="190" t="s">
        <v>207</v>
      </c>
    </row>
    <row r="46" spans="1:14" x14ac:dyDescent="0.2">
      <c r="B46" s="51" t="s">
        <v>208</v>
      </c>
      <c r="C46" s="51" t="s">
        <v>209</v>
      </c>
      <c r="D46" s="52" t="s">
        <v>210</v>
      </c>
      <c r="E46" s="51" t="s">
        <v>211</v>
      </c>
      <c r="F46" s="53"/>
      <c r="K46" s="26">
        <v>5</v>
      </c>
      <c r="L46" s="26" t="s">
        <v>212</v>
      </c>
    </row>
    <row r="47" spans="1:14" x14ac:dyDescent="0.2">
      <c r="A47" s="30" t="s">
        <v>213</v>
      </c>
      <c r="B47" s="54">
        <f>ROUNDUP(($B$5-$B$42)/$B$44,0)</f>
        <v>8</v>
      </c>
      <c r="C47" s="54">
        <f>$B$47*$B$44+$B$42</f>
        <v>34</v>
      </c>
      <c r="D47" s="54">
        <f>$B$6-1</f>
        <v>77</v>
      </c>
      <c r="E47" s="54">
        <f>$B$5-0.25</f>
        <v>32.75</v>
      </c>
      <c r="F47" s="53"/>
    </row>
    <row r="48" spans="1:14" x14ac:dyDescent="0.2">
      <c r="A48" s="30" t="s">
        <v>117</v>
      </c>
      <c r="B48" s="54">
        <f>ROUNDUP((($B$5+2*$B$42)-$B$42)/$B$44,0)</f>
        <v>9</v>
      </c>
      <c r="C48" s="54">
        <f>$B$48*$B$44+$B$42</f>
        <v>38</v>
      </c>
      <c r="D48" s="54">
        <f>$B$6+3</f>
        <v>81</v>
      </c>
      <c r="E48" s="54">
        <f>C48</f>
        <v>38</v>
      </c>
      <c r="F48" s="53"/>
      <c r="K48" s="26" t="s">
        <v>214</v>
      </c>
    </row>
    <row r="49" spans="1:12" x14ac:dyDescent="0.2">
      <c r="A49" s="30" t="s">
        <v>215</v>
      </c>
      <c r="B49" s="54">
        <f>ROUNDUP(($B$5-$B$42)/$B$44,0)</f>
        <v>8</v>
      </c>
      <c r="C49" s="54">
        <f>$B$49*$B$44+$B$42</f>
        <v>34</v>
      </c>
      <c r="D49" s="54">
        <f>B6</f>
        <v>78</v>
      </c>
      <c r="E49" s="54">
        <f>B12</f>
        <v>38</v>
      </c>
      <c r="F49" s="53"/>
      <c r="K49" s="26">
        <v>5</v>
      </c>
      <c r="L49" s="26" t="s">
        <v>212</v>
      </c>
    </row>
    <row r="50" spans="1:12" x14ac:dyDescent="0.2">
      <c r="E50" s="55"/>
      <c r="F50" s="53"/>
    </row>
    <row r="51" spans="1:12" x14ac:dyDescent="0.2">
      <c r="A51" s="51" t="s">
        <v>216</v>
      </c>
      <c r="B51" s="54">
        <f>VLOOKUP(B7,I7:N26,6,FALSE)</f>
        <v>0.59599999999999997</v>
      </c>
      <c r="D51" s="49"/>
      <c r="E51" s="55"/>
      <c r="F51" s="53"/>
      <c r="K51" s="26" t="s">
        <v>217</v>
      </c>
    </row>
    <row r="52" spans="1:12" x14ac:dyDescent="0.2">
      <c r="A52" s="51" t="s">
        <v>218</v>
      </c>
      <c r="B52" s="54">
        <f>VLOOKUP(G5,I33:N36,6,FALSE)</f>
        <v>1.6</v>
      </c>
      <c r="D52" s="49"/>
      <c r="E52" s="46"/>
      <c r="F52" s="46"/>
      <c r="K52" s="26">
        <v>0.25</v>
      </c>
      <c r="L52" s="26" t="s">
        <v>219</v>
      </c>
    </row>
    <row r="53" spans="1:12" x14ac:dyDescent="0.2">
      <c r="D53" s="49"/>
      <c r="E53" s="55"/>
    </row>
    <row r="54" spans="1:12" x14ac:dyDescent="0.2">
      <c r="A54" s="26" t="s">
        <v>220</v>
      </c>
      <c r="B54" s="26">
        <f>VLOOKUP(B7,I7:O26,7,FALSE)</f>
        <v>300</v>
      </c>
      <c r="D54" s="49"/>
      <c r="E54" s="46"/>
    </row>
    <row r="63" spans="1:12" x14ac:dyDescent="0.2">
      <c r="D63" s="49"/>
      <c r="E63" s="46"/>
    </row>
  </sheetData>
  <phoneticPr fontId="25" type="noConversion"/>
  <dataValidations count="6">
    <dataValidation type="list" allowBlank="1" showInputMessage="1" showErrorMessage="1" sqref="B7">
      <formula1>$I$7:$I$26</formula1>
    </dataValidation>
    <dataValidation type="list" allowBlank="1" showInputMessage="1" showErrorMessage="1" sqref="G5">
      <formula1>$I$33:$I$36</formula1>
    </dataValidation>
    <dataValidation type="list" allowBlank="1" showInputMessage="1" showErrorMessage="1" sqref="B4">
      <formula1>$I$3:$I$5</formula1>
    </dataValidation>
    <dataValidation type="list" allowBlank="1" showInputMessage="1" showErrorMessage="1" sqref="G7">
      <formula1>$I$28:$I$29</formula1>
    </dataValidation>
    <dataValidation type="list" allowBlank="1" showInputMessage="1" showErrorMessage="1" sqref="B8">
      <formula1>$W$7:$W$15</formula1>
    </dataValidation>
    <dataValidation type="list" allowBlank="1" showInputMessage="1" showErrorMessage="1" sqref="G6">
      <formula1>$A$47:$A$49</formula1>
    </dataValidation>
  </dataValidations>
  <pageMargins left="0.75" right="0.75" top="1" bottom="1" header="0.5" footer="0.5"/>
  <pageSetup scale="75" orientation="portrait" verticalDpi="300" r:id="rId1"/>
  <headerFooter alignWithMargins="0">
    <oddHeader xml:space="preserve">&amp;Lfilename: &amp;F&amp;CSheet: &amp;A&amp;R&amp;D, &amp;T
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48"/>
  <sheetViews>
    <sheetView zoomScaleNormal="100" workbookViewId="0">
      <selection activeCell="O16" sqref="O16"/>
    </sheetView>
  </sheetViews>
  <sheetFormatPr defaultRowHeight="15.75" x14ac:dyDescent="0.25"/>
  <cols>
    <col min="1" max="1" width="20.75" bestFit="1" customWidth="1"/>
    <col min="2" max="2" width="40.375" bestFit="1" customWidth="1"/>
    <col min="8" max="8" width="15.25" bestFit="1" customWidth="1"/>
  </cols>
  <sheetData>
    <row r="1" spans="1:9" x14ac:dyDescent="0.25">
      <c r="C1">
        <v>2015</v>
      </c>
      <c r="D1">
        <v>2015</v>
      </c>
      <c r="E1">
        <v>2015</v>
      </c>
      <c r="F1">
        <v>2015</v>
      </c>
      <c r="G1">
        <v>2014</v>
      </c>
      <c r="H1" t="s">
        <v>0</v>
      </c>
    </row>
    <row r="2" spans="1:9" x14ac:dyDescent="0.25">
      <c r="A2" s="192" t="s">
        <v>2</v>
      </c>
      <c r="B2" s="192"/>
      <c r="C2" s="192"/>
      <c r="D2" s="192"/>
      <c r="E2" s="192" t="s">
        <v>94</v>
      </c>
      <c r="F2" s="192" t="s">
        <v>94</v>
      </c>
      <c r="G2" s="192" t="s">
        <v>235</v>
      </c>
      <c r="H2" s="192"/>
      <c r="I2" s="192"/>
    </row>
    <row r="3" spans="1:9" x14ac:dyDescent="0.25">
      <c r="A3" s="192"/>
      <c r="B3" s="192"/>
      <c r="C3" s="192" t="s">
        <v>96</v>
      </c>
      <c r="D3" s="192" t="s">
        <v>96</v>
      </c>
      <c r="E3" s="192" t="s">
        <v>95</v>
      </c>
      <c r="F3" s="192" t="s">
        <v>95</v>
      </c>
      <c r="G3" s="192" t="s">
        <v>96</v>
      </c>
      <c r="H3" s="192"/>
      <c r="I3" s="192"/>
    </row>
    <row r="4" spans="1:9" x14ac:dyDescent="0.25">
      <c r="A4" s="192" t="s">
        <v>6</v>
      </c>
      <c r="B4" s="192" t="s">
        <v>7</v>
      </c>
      <c r="C4" s="192" t="s">
        <v>4</v>
      </c>
      <c r="D4" s="192" t="s">
        <v>5</v>
      </c>
      <c r="E4" s="192" t="s">
        <v>4</v>
      </c>
      <c r="F4" s="192" t="s">
        <v>5</v>
      </c>
      <c r="G4" s="192" t="s">
        <v>236</v>
      </c>
      <c r="H4" s="192" t="s">
        <v>8</v>
      </c>
      <c r="I4" s="193" t="s">
        <v>10</v>
      </c>
    </row>
    <row r="5" spans="1:9" x14ac:dyDescent="0.25">
      <c r="A5" s="192"/>
      <c r="B5" s="192"/>
      <c r="C5" s="192"/>
      <c r="D5" s="192"/>
      <c r="E5" s="192"/>
      <c r="F5" s="192"/>
      <c r="G5" s="192"/>
      <c r="H5" s="192"/>
      <c r="I5" s="13"/>
    </row>
    <row r="6" spans="1:9" x14ac:dyDescent="0.25">
      <c r="A6" s="192" t="s">
        <v>11</v>
      </c>
      <c r="B6" s="192" t="s">
        <v>12</v>
      </c>
      <c r="C6" s="192">
        <v>157.19759999999999</v>
      </c>
      <c r="D6" s="192">
        <v>125.75808000000001</v>
      </c>
      <c r="E6" s="192">
        <v>0.78598800000000002</v>
      </c>
      <c r="F6" s="192">
        <v>0.62879040000000008</v>
      </c>
      <c r="G6" s="192">
        <v>99.23</v>
      </c>
      <c r="H6" s="192">
        <v>62.38</v>
      </c>
      <c r="I6" s="194">
        <v>78.598799999999997</v>
      </c>
    </row>
    <row r="7" spans="1:9" x14ac:dyDescent="0.25">
      <c r="A7" s="192" t="s">
        <v>14</v>
      </c>
      <c r="B7" s="192" t="s">
        <v>15</v>
      </c>
      <c r="C7" s="192">
        <v>176.42520000000002</v>
      </c>
      <c r="D7" s="192">
        <v>141.14016000000001</v>
      </c>
      <c r="E7" s="192">
        <v>0.88212600000000008</v>
      </c>
      <c r="F7" s="192">
        <v>0.66159450000000009</v>
      </c>
      <c r="G7" s="192">
        <v>111.38</v>
      </c>
      <c r="H7" s="192">
        <v>70.010000000000005</v>
      </c>
      <c r="I7" s="194">
        <v>88.212600000000009</v>
      </c>
    </row>
    <row r="8" spans="1:9" x14ac:dyDescent="0.25">
      <c r="A8" s="192"/>
      <c r="B8" s="192"/>
      <c r="C8" s="192"/>
      <c r="D8" s="192">
        <v>0</v>
      </c>
      <c r="E8" s="192"/>
      <c r="F8" s="192">
        <v>0</v>
      </c>
      <c r="G8" s="192"/>
      <c r="H8" s="192"/>
      <c r="I8" s="195"/>
    </row>
    <row r="9" spans="1:9" x14ac:dyDescent="0.25">
      <c r="A9" s="192" t="s">
        <v>16</v>
      </c>
      <c r="B9" s="192" t="s">
        <v>17</v>
      </c>
      <c r="C9" s="192">
        <v>214.9308</v>
      </c>
      <c r="D9" s="192">
        <v>171.94464000000002</v>
      </c>
      <c r="E9" s="192">
        <v>1.074654</v>
      </c>
      <c r="F9" s="192">
        <v>0.80599050000000005</v>
      </c>
      <c r="G9" s="192">
        <v>135.68</v>
      </c>
      <c r="H9" s="192">
        <v>85.29</v>
      </c>
      <c r="I9" s="194">
        <v>107.4654</v>
      </c>
    </row>
    <row r="10" spans="1:9" x14ac:dyDescent="0.25">
      <c r="A10" s="192" t="s">
        <v>18</v>
      </c>
      <c r="B10" s="192" t="s">
        <v>19</v>
      </c>
      <c r="C10" s="192">
        <v>240.6096</v>
      </c>
      <c r="D10" s="192">
        <v>192.48768000000001</v>
      </c>
      <c r="E10" s="192">
        <v>1.2030479999999999</v>
      </c>
      <c r="F10" s="192">
        <v>0.90228599999999992</v>
      </c>
      <c r="G10" s="192">
        <v>151.88</v>
      </c>
      <c r="H10" s="192">
        <v>95.48</v>
      </c>
      <c r="I10" s="194">
        <v>120.3048</v>
      </c>
    </row>
    <row r="11" spans="1:9" x14ac:dyDescent="0.25">
      <c r="A11" s="192" t="s">
        <v>20</v>
      </c>
      <c r="B11" s="192" t="s">
        <v>21</v>
      </c>
      <c r="C11" s="192">
        <v>253.43639999999999</v>
      </c>
      <c r="D11" s="192">
        <v>202.74912</v>
      </c>
      <c r="E11" s="192">
        <v>1.267182</v>
      </c>
      <c r="F11" s="192">
        <v>0.95038650000000002</v>
      </c>
      <c r="G11" s="192" t="s">
        <v>237</v>
      </c>
      <c r="H11" s="192">
        <v>100.57</v>
      </c>
      <c r="I11" s="194">
        <v>126.7182</v>
      </c>
    </row>
    <row r="12" spans="1:9" x14ac:dyDescent="0.25">
      <c r="A12" s="192"/>
      <c r="B12" s="192"/>
      <c r="C12" s="192"/>
      <c r="D12" s="192">
        <v>0</v>
      </c>
      <c r="E12" s="192"/>
      <c r="F12" s="192">
        <v>0</v>
      </c>
      <c r="G12" s="192"/>
      <c r="H12" s="192"/>
      <c r="I12" s="195"/>
    </row>
    <row r="13" spans="1:9" x14ac:dyDescent="0.25">
      <c r="A13" s="192" t="s">
        <v>22</v>
      </c>
      <c r="B13" s="192" t="s">
        <v>23</v>
      </c>
      <c r="C13" s="192">
        <v>349.67519999999996</v>
      </c>
      <c r="D13" s="192">
        <v>279.74016</v>
      </c>
      <c r="E13" s="192">
        <v>1.7483759999999999</v>
      </c>
      <c r="F13" s="192">
        <v>1.3112819999999998</v>
      </c>
      <c r="G13" s="192">
        <v>220.73</v>
      </c>
      <c r="H13" s="192">
        <v>138.76</v>
      </c>
      <c r="I13" s="194">
        <v>174.83759999999998</v>
      </c>
    </row>
    <row r="14" spans="1:9" x14ac:dyDescent="0.25">
      <c r="A14" s="192" t="s">
        <v>25</v>
      </c>
      <c r="B14" s="192" t="s">
        <v>26</v>
      </c>
      <c r="C14" s="192">
        <v>391.38120000000004</v>
      </c>
      <c r="D14" s="192">
        <v>313.10496000000006</v>
      </c>
      <c r="E14" s="192">
        <v>1.956906</v>
      </c>
      <c r="F14" s="192">
        <v>1.4676795</v>
      </c>
      <c r="G14" s="192">
        <v>247.05</v>
      </c>
      <c r="H14" s="192">
        <v>155.31</v>
      </c>
      <c r="I14" s="194">
        <v>195.69060000000002</v>
      </c>
    </row>
    <row r="15" spans="1:9" x14ac:dyDescent="0.25">
      <c r="A15" s="192" t="s">
        <v>27</v>
      </c>
      <c r="B15" s="192" t="s">
        <v>28</v>
      </c>
      <c r="C15" s="192">
        <v>410.63399999999996</v>
      </c>
      <c r="D15" s="192">
        <v>328.50720000000001</v>
      </c>
      <c r="E15" s="192">
        <v>2.0531699999999997</v>
      </c>
      <c r="F15" s="192">
        <v>1.5398774999999998</v>
      </c>
      <c r="G15" s="192" t="s">
        <v>237</v>
      </c>
      <c r="H15" s="192">
        <v>162.94999999999999</v>
      </c>
      <c r="I15" s="194">
        <v>205.31699999999998</v>
      </c>
    </row>
    <row r="16" spans="1:9" x14ac:dyDescent="0.25">
      <c r="A16" s="192" t="s">
        <v>29</v>
      </c>
      <c r="B16" s="192" t="s">
        <v>30</v>
      </c>
      <c r="C16" s="192">
        <v>211.2012</v>
      </c>
      <c r="D16" s="192">
        <v>168.96096</v>
      </c>
      <c r="E16" s="192">
        <v>2.112012</v>
      </c>
      <c r="F16" s="192">
        <v>1.584009</v>
      </c>
      <c r="G16" s="192" t="s">
        <v>237</v>
      </c>
      <c r="H16" s="192">
        <v>83.81</v>
      </c>
      <c r="I16" s="194">
        <v>105.6006</v>
      </c>
    </row>
    <row r="17" spans="1:9" x14ac:dyDescent="0.25">
      <c r="A17" s="192" t="s">
        <v>31</v>
      </c>
      <c r="B17" s="192" t="s">
        <v>32</v>
      </c>
      <c r="C17" s="192">
        <v>235.87199999999999</v>
      </c>
      <c r="D17" s="192">
        <v>188.69759999999999</v>
      </c>
      <c r="E17" s="192">
        <v>2.3587199999999999</v>
      </c>
      <c r="F17" s="192">
        <v>1.7690399999999999</v>
      </c>
      <c r="G17" s="192" t="s">
        <v>237</v>
      </c>
      <c r="H17" s="192">
        <v>93.6</v>
      </c>
      <c r="I17" s="194">
        <v>117.93599999999999</v>
      </c>
    </row>
    <row r="18" spans="1:9" x14ac:dyDescent="0.25">
      <c r="A18" s="192" t="s">
        <v>33</v>
      </c>
      <c r="B18" s="192" t="s">
        <v>34</v>
      </c>
      <c r="C18" s="192">
        <v>420.23519999999996</v>
      </c>
      <c r="D18" s="192">
        <v>336.18815999999998</v>
      </c>
      <c r="E18" s="192">
        <v>2.1011759999999997</v>
      </c>
      <c r="F18" s="192">
        <v>1.5758819999999998</v>
      </c>
      <c r="G18" s="192" t="s">
        <v>237</v>
      </c>
      <c r="H18" s="192">
        <v>166.76</v>
      </c>
      <c r="I18" s="194">
        <v>210.11759999999998</v>
      </c>
    </row>
    <row r="19" spans="1:9" x14ac:dyDescent="0.25">
      <c r="A19" s="192" t="s">
        <v>35</v>
      </c>
      <c r="B19" s="192" t="s">
        <v>36</v>
      </c>
      <c r="C19" s="192">
        <v>474.79320000000001</v>
      </c>
      <c r="D19" s="192">
        <v>379.83456000000001</v>
      </c>
      <c r="E19" s="192">
        <v>2.3739659999999998</v>
      </c>
      <c r="F19" s="192">
        <v>1.7804745</v>
      </c>
      <c r="G19" s="192" t="s">
        <v>237</v>
      </c>
      <c r="H19" s="192">
        <v>188.41</v>
      </c>
      <c r="I19" s="194">
        <v>237.39660000000001</v>
      </c>
    </row>
    <row r="20" spans="1:9" x14ac:dyDescent="0.25">
      <c r="A20" s="192" t="s">
        <v>37</v>
      </c>
      <c r="B20" s="192" t="s">
        <v>256</v>
      </c>
      <c r="C20" s="192">
        <v>449.13959999999997</v>
      </c>
      <c r="D20" s="192">
        <v>359.31168000000002</v>
      </c>
      <c r="E20" s="192">
        <v>2.245698</v>
      </c>
      <c r="F20" s="192">
        <v>1.6842735</v>
      </c>
      <c r="G20" s="192" t="s">
        <v>237</v>
      </c>
      <c r="H20" s="192">
        <v>178.23</v>
      </c>
      <c r="I20" s="194">
        <v>224.56979999999999</v>
      </c>
    </row>
    <row r="21" spans="1:9" x14ac:dyDescent="0.25">
      <c r="A21" s="192" t="s">
        <v>38</v>
      </c>
      <c r="B21" s="192" t="s">
        <v>257</v>
      </c>
      <c r="C21" s="192">
        <v>694.10879999999997</v>
      </c>
      <c r="D21" s="192">
        <v>555.28704000000005</v>
      </c>
      <c r="E21" s="192">
        <v>3.4705439999999994</v>
      </c>
      <c r="F21" s="192">
        <v>2.6029079999999993</v>
      </c>
      <c r="G21" s="192" t="s">
        <v>237</v>
      </c>
      <c r="H21" s="192">
        <v>275.44</v>
      </c>
      <c r="I21" s="194">
        <v>347.05439999999999</v>
      </c>
    </row>
    <row r="22" spans="1:9" x14ac:dyDescent="0.25">
      <c r="A22" s="192" t="s">
        <v>39</v>
      </c>
      <c r="B22" s="192" t="s">
        <v>40</v>
      </c>
      <c r="C22" s="192">
        <v>465.54480000000001</v>
      </c>
      <c r="D22" s="192">
        <v>372.43584000000004</v>
      </c>
      <c r="E22" s="192">
        <v>2.3277239999999999</v>
      </c>
      <c r="F22" s="192">
        <v>1.7457929999999999</v>
      </c>
      <c r="G22" s="192"/>
      <c r="H22" s="192">
        <v>184.74</v>
      </c>
      <c r="I22" s="194">
        <v>232.7724</v>
      </c>
    </row>
    <row r="23" spans="1:9" x14ac:dyDescent="0.25">
      <c r="A23" s="192"/>
      <c r="B23" s="192"/>
      <c r="C23" s="192"/>
      <c r="D23" s="192">
        <v>0</v>
      </c>
      <c r="E23" s="192"/>
      <c r="F23" s="192">
        <v>0</v>
      </c>
      <c r="G23" s="192"/>
      <c r="H23" s="192"/>
      <c r="I23" s="196"/>
    </row>
    <row r="24" spans="1:9" x14ac:dyDescent="0.25">
      <c r="A24" s="192" t="s">
        <v>41</v>
      </c>
      <c r="B24" s="192" t="s">
        <v>42</v>
      </c>
      <c r="C24" s="192">
        <v>547.5204</v>
      </c>
      <c r="D24" s="192">
        <v>438.01632000000001</v>
      </c>
      <c r="E24" s="192">
        <v>4.1064030000000002</v>
      </c>
      <c r="F24" s="192">
        <v>3.0798022500000002</v>
      </c>
      <c r="G24" s="192">
        <v>345.6</v>
      </c>
      <c r="H24" s="192">
        <v>217.27</v>
      </c>
      <c r="I24" s="194">
        <v>273.7602</v>
      </c>
    </row>
    <row r="25" spans="1:9" x14ac:dyDescent="0.25">
      <c r="A25" s="192" t="s">
        <v>44</v>
      </c>
      <c r="B25" s="192" t="s">
        <v>45</v>
      </c>
      <c r="C25" s="192">
        <v>613.82159999999999</v>
      </c>
      <c r="D25" s="192">
        <v>491.05727999999999</v>
      </c>
      <c r="E25" s="192">
        <v>4.6036619999999999</v>
      </c>
      <c r="F25" s="192">
        <v>3.4527464999999999</v>
      </c>
      <c r="G25" s="192">
        <v>387.45</v>
      </c>
      <c r="H25" s="192">
        <v>243.58</v>
      </c>
      <c r="I25" s="194">
        <v>306.91079999999999</v>
      </c>
    </row>
    <row r="26" spans="1:9" x14ac:dyDescent="0.25">
      <c r="A26" s="192" t="s">
        <v>46</v>
      </c>
      <c r="B26" s="192" t="s">
        <v>47</v>
      </c>
      <c r="C26" s="192">
        <v>643.73399999999992</v>
      </c>
      <c r="D26" s="192">
        <v>514.98719999999992</v>
      </c>
      <c r="E26" s="192">
        <v>4.8280049999999992</v>
      </c>
      <c r="F26" s="192">
        <v>3.6210037499999994</v>
      </c>
      <c r="G26" s="192" t="s">
        <v>237</v>
      </c>
      <c r="H26" s="192">
        <v>255.45</v>
      </c>
      <c r="I26" s="194">
        <v>321.86699999999996</v>
      </c>
    </row>
    <row r="27" spans="1:9" x14ac:dyDescent="0.25">
      <c r="A27" s="192" t="s">
        <v>48</v>
      </c>
      <c r="B27" s="192" t="s">
        <v>49</v>
      </c>
      <c r="C27" s="192">
        <v>496.33920000000001</v>
      </c>
      <c r="D27" s="192">
        <v>397.07136000000003</v>
      </c>
      <c r="E27" s="192">
        <v>4.9633919999999998</v>
      </c>
      <c r="F27" s="192">
        <v>3.7225440000000001</v>
      </c>
      <c r="G27" s="192" t="s">
        <v>237</v>
      </c>
      <c r="H27" s="192">
        <v>196.96</v>
      </c>
      <c r="I27" s="194">
        <v>248.1696</v>
      </c>
    </row>
    <row r="28" spans="1:9" x14ac:dyDescent="0.25">
      <c r="A28" s="192" t="s">
        <v>51</v>
      </c>
      <c r="B28" s="192" t="s">
        <v>258</v>
      </c>
      <c r="C28" s="192">
        <v>556.21439999999996</v>
      </c>
      <c r="D28" s="192">
        <v>444.97152</v>
      </c>
      <c r="E28" s="192">
        <v>5.562144</v>
      </c>
      <c r="F28" s="192">
        <v>4.171608</v>
      </c>
      <c r="G28" s="192" t="s">
        <v>237</v>
      </c>
      <c r="H28" s="192">
        <v>220.72</v>
      </c>
      <c r="I28" s="194">
        <v>278.10719999999998</v>
      </c>
    </row>
    <row r="29" spans="1:9" x14ac:dyDescent="0.25">
      <c r="A29" s="192" t="s">
        <v>52</v>
      </c>
      <c r="B29" s="192" t="s">
        <v>53</v>
      </c>
      <c r="C29" s="192">
        <v>705.77639999999997</v>
      </c>
      <c r="D29" s="192">
        <v>564.62112000000002</v>
      </c>
      <c r="E29" s="192">
        <v>5.293323</v>
      </c>
      <c r="F29" s="192">
        <v>3.9699922499999998</v>
      </c>
      <c r="G29" s="192"/>
      <c r="H29" s="192">
        <v>280.07</v>
      </c>
      <c r="I29" s="194">
        <v>352.88819999999998</v>
      </c>
    </row>
    <row r="30" spans="1:9" x14ac:dyDescent="0.25">
      <c r="A30" s="192"/>
      <c r="B30" s="192"/>
      <c r="C30" s="192"/>
      <c r="D30" s="192">
        <v>0</v>
      </c>
      <c r="E30" s="192"/>
      <c r="F30" s="192">
        <v>0</v>
      </c>
      <c r="G30" s="192"/>
      <c r="H30" s="192"/>
      <c r="I30" s="196"/>
    </row>
    <row r="31" spans="1:9" x14ac:dyDescent="0.25">
      <c r="A31" s="192" t="s">
        <v>54</v>
      </c>
      <c r="B31" s="192" t="s">
        <v>55</v>
      </c>
      <c r="C31" s="192">
        <v>496.18800000000005</v>
      </c>
      <c r="D31" s="192">
        <v>396.95040000000006</v>
      </c>
      <c r="E31" s="192">
        <v>7.4428200000000011</v>
      </c>
      <c r="F31" s="192">
        <v>5.5821150000000008</v>
      </c>
      <c r="G31" s="192">
        <v>313.2</v>
      </c>
      <c r="H31" s="192">
        <v>196.9</v>
      </c>
      <c r="I31" s="194">
        <v>248.09400000000002</v>
      </c>
    </row>
    <row r="32" spans="1:9" x14ac:dyDescent="0.25">
      <c r="A32" s="192" t="s">
        <v>57</v>
      </c>
      <c r="B32" s="192" t="s">
        <v>58</v>
      </c>
      <c r="C32" s="192">
        <v>556.06320000000005</v>
      </c>
      <c r="D32" s="192">
        <v>444.85056000000009</v>
      </c>
      <c r="E32" s="192">
        <v>8.3409480000000009</v>
      </c>
      <c r="F32" s="192">
        <v>6.2557110000000007</v>
      </c>
      <c r="G32" s="192">
        <v>351</v>
      </c>
      <c r="H32" s="192">
        <v>220.66</v>
      </c>
      <c r="I32" s="194">
        <v>278.03160000000003</v>
      </c>
    </row>
    <row r="33" spans="1:9" x14ac:dyDescent="0.25">
      <c r="A33" s="192" t="s">
        <v>59</v>
      </c>
      <c r="B33" s="192" t="s">
        <v>60</v>
      </c>
      <c r="C33" s="192">
        <v>598.44960000000003</v>
      </c>
      <c r="D33" s="192">
        <v>478.75968000000006</v>
      </c>
      <c r="E33" s="192">
        <v>8.9767440000000001</v>
      </c>
      <c r="F33" s="192">
        <v>6.732558</v>
      </c>
      <c r="G33" s="192" t="s">
        <v>237</v>
      </c>
      <c r="H33" s="192">
        <v>237.48</v>
      </c>
      <c r="I33" s="194">
        <v>299.22480000000002</v>
      </c>
    </row>
    <row r="34" spans="1:9" x14ac:dyDescent="0.25">
      <c r="A34" s="192" t="s">
        <v>61</v>
      </c>
      <c r="B34" s="192" t="s">
        <v>62</v>
      </c>
      <c r="C34" s="192">
        <v>671.20200000000011</v>
      </c>
      <c r="D34" s="192">
        <v>536.96160000000009</v>
      </c>
      <c r="E34" s="192">
        <v>10.06803</v>
      </c>
      <c r="F34" s="192">
        <v>7.5510225000000002</v>
      </c>
      <c r="G34" s="192" t="s">
        <v>237</v>
      </c>
      <c r="H34" s="192">
        <v>266.35000000000002</v>
      </c>
      <c r="I34" s="194">
        <v>335.60100000000006</v>
      </c>
    </row>
    <row r="35" spans="1:9" x14ac:dyDescent="0.25">
      <c r="A35" s="192" t="s">
        <v>63</v>
      </c>
      <c r="B35" s="192" t="s">
        <v>64</v>
      </c>
      <c r="C35" s="192">
        <v>670.2192</v>
      </c>
      <c r="D35" s="192">
        <v>536.17536000000007</v>
      </c>
      <c r="E35" s="192">
        <v>10.053288</v>
      </c>
      <c r="F35" s="192">
        <v>7.5399659999999997</v>
      </c>
      <c r="G35" s="192" t="s">
        <v>237</v>
      </c>
      <c r="H35" s="192">
        <v>265.95999999999998</v>
      </c>
      <c r="I35" s="194">
        <v>335.1096</v>
      </c>
    </row>
    <row r="36" spans="1:9" x14ac:dyDescent="0.25">
      <c r="A36" s="192"/>
      <c r="B36" s="192"/>
      <c r="C36" s="192"/>
      <c r="D36" s="192">
        <v>0</v>
      </c>
      <c r="E36" s="192"/>
      <c r="F36" s="192">
        <v>0</v>
      </c>
      <c r="G36" s="192"/>
      <c r="H36" s="192"/>
      <c r="I36" s="196"/>
    </row>
    <row r="37" spans="1:9" x14ac:dyDescent="0.25">
      <c r="A37" s="192" t="s">
        <v>65</v>
      </c>
      <c r="B37" s="192" t="s">
        <v>66</v>
      </c>
      <c r="C37" s="192">
        <v>378.55439999999999</v>
      </c>
      <c r="D37" s="192">
        <v>302.84352000000001</v>
      </c>
      <c r="E37" s="192">
        <v>9.4638600000000004</v>
      </c>
      <c r="F37" s="192">
        <v>7.0978950000000003</v>
      </c>
      <c r="G37" s="192" t="s">
        <v>237</v>
      </c>
      <c r="H37" s="192">
        <v>150.22</v>
      </c>
      <c r="I37" s="194">
        <v>189.27719999999999</v>
      </c>
    </row>
    <row r="38" spans="1:9" x14ac:dyDescent="0.25">
      <c r="A38" s="192" t="s">
        <v>67</v>
      </c>
      <c r="B38" s="192" t="s">
        <v>68</v>
      </c>
      <c r="C38" s="192">
        <v>491.4504</v>
      </c>
      <c r="D38" s="192">
        <v>393.16032000000001</v>
      </c>
      <c r="E38" s="192">
        <v>12.286259999999999</v>
      </c>
      <c r="F38" s="192">
        <v>9.214694999999999</v>
      </c>
      <c r="G38" s="192" t="s">
        <v>237</v>
      </c>
      <c r="H38" s="192">
        <v>195.02</v>
      </c>
      <c r="I38" s="194">
        <v>245.7252</v>
      </c>
    </row>
    <row r="39" spans="1:9" x14ac:dyDescent="0.25">
      <c r="A39" s="192" t="s">
        <v>69</v>
      </c>
      <c r="B39" s="192" t="s">
        <v>70</v>
      </c>
      <c r="C39" s="192">
        <v>378.55439999999999</v>
      </c>
      <c r="D39" s="192">
        <v>302.84352000000001</v>
      </c>
      <c r="E39" s="192">
        <v>9.4638600000000004</v>
      </c>
      <c r="F39" s="192">
        <v>7.0978950000000003</v>
      </c>
      <c r="G39" s="192" t="s">
        <v>237</v>
      </c>
      <c r="H39" s="192">
        <v>150.22</v>
      </c>
      <c r="I39" s="194">
        <v>189.27719999999999</v>
      </c>
    </row>
    <row r="40" spans="1:9" x14ac:dyDescent="0.25">
      <c r="A40" s="192" t="s">
        <v>71</v>
      </c>
      <c r="B40" s="192" t="s">
        <v>72</v>
      </c>
      <c r="C40" s="192">
        <v>491.4504</v>
      </c>
      <c r="D40" s="192">
        <v>393.16032000000001</v>
      </c>
      <c r="E40" s="192">
        <v>12.286259999999999</v>
      </c>
      <c r="F40" s="192">
        <v>9.214694999999999</v>
      </c>
      <c r="G40" s="192" t="s">
        <v>237</v>
      </c>
      <c r="H40" s="192">
        <v>195.02</v>
      </c>
      <c r="I40" s="194">
        <v>245.7252</v>
      </c>
    </row>
    <row r="41" spans="1:9" x14ac:dyDescent="0.25">
      <c r="A41" s="192"/>
      <c r="B41" s="192"/>
      <c r="C41" s="192"/>
      <c r="D41" s="192">
        <v>0</v>
      </c>
      <c r="E41" s="192"/>
      <c r="F41" s="192">
        <v>0</v>
      </c>
      <c r="G41" s="192"/>
      <c r="H41" s="192">
        <v>271.89999999999998</v>
      </c>
      <c r="I41" s="196"/>
    </row>
    <row r="42" spans="1:9" x14ac:dyDescent="0.25">
      <c r="A42" s="192" t="s">
        <v>73</v>
      </c>
      <c r="B42" s="192" t="s">
        <v>74</v>
      </c>
      <c r="C42" s="192">
        <v>558.05399999999997</v>
      </c>
      <c r="D42" s="192">
        <v>446.44319999999999</v>
      </c>
      <c r="E42" s="192">
        <v>3.9861</v>
      </c>
      <c r="F42" s="192">
        <v>2.9895749999999999</v>
      </c>
      <c r="G42" s="192" t="s">
        <v>237</v>
      </c>
      <c r="H42" s="192">
        <v>221.45</v>
      </c>
      <c r="I42" s="194">
        <v>279.02699999999999</v>
      </c>
    </row>
    <row r="43" spans="1:9" x14ac:dyDescent="0.25">
      <c r="A43" s="192" t="s">
        <v>75</v>
      </c>
      <c r="B43" s="192" t="s">
        <v>76</v>
      </c>
      <c r="C43" s="192">
        <v>568.89</v>
      </c>
      <c r="D43" s="192">
        <v>455.11200000000002</v>
      </c>
      <c r="E43" s="192">
        <v>4.7407500000000002</v>
      </c>
      <c r="F43" s="192">
        <v>3.5555625000000002</v>
      </c>
      <c r="G43" s="192">
        <v>368.78</v>
      </c>
      <c r="H43" s="192">
        <v>225.75</v>
      </c>
      <c r="I43" s="194">
        <v>284.44499999999999</v>
      </c>
    </row>
    <row r="44" spans="1:9" x14ac:dyDescent="0.25">
      <c r="A44" s="192" t="s">
        <v>78</v>
      </c>
      <c r="B44" s="192" t="s">
        <v>79</v>
      </c>
      <c r="C44" s="192">
        <v>1132.4628</v>
      </c>
      <c r="D44" s="192">
        <v>905.9702400000001</v>
      </c>
      <c r="E44" s="192">
        <v>18.874379999999999</v>
      </c>
      <c r="F44" s="192">
        <v>14.155784999999998</v>
      </c>
      <c r="G44" s="192" t="s">
        <v>237</v>
      </c>
      <c r="H44" s="192">
        <v>449.39</v>
      </c>
      <c r="I44" s="194">
        <v>566.23140000000001</v>
      </c>
    </row>
    <row r="45" spans="1:9" x14ac:dyDescent="0.25">
      <c r="A45" s="192"/>
      <c r="B45" s="192"/>
      <c r="C45" s="192"/>
      <c r="D45" s="192">
        <v>0</v>
      </c>
      <c r="E45" s="192"/>
      <c r="F45" s="192">
        <v>0</v>
      </c>
      <c r="G45" s="192"/>
      <c r="H45" s="192">
        <v>225.75</v>
      </c>
      <c r="I45" s="196"/>
    </row>
    <row r="46" spans="1:9" x14ac:dyDescent="0.25">
      <c r="A46" s="192" t="s">
        <v>80</v>
      </c>
      <c r="B46" s="192" t="s">
        <v>81</v>
      </c>
      <c r="C46" s="192">
        <v>953.56799999999998</v>
      </c>
      <c r="D46" s="192">
        <v>762.85440000000006</v>
      </c>
      <c r="E46" s="192">
        <v>4.7678399999999996</v>
      </c>
      <c r="F46" s="192">
        <v>3.5758799999999997</v>
      </c>
      <c r="G46" s="192" t="s">
        <v>237</v>
      </c>
      <c r="H46" s="192">
        <v>378.4</v>
      </c>
      <c r="I46" s="194">
        <v>476.78399999999999</v>
      </c>
    </row>
    <row r="47" spans="1:9" x14ac:dyDescent="0.25">
      <c r="A47" s="192" t="s">
        <v>83</v>
      </c>
      <c r="B47" s="192" t="s">
        <v>84</v>
      </c>
      <c r="C47" s="192">
        <v>953.56799999999998</v>
      </c>
      <c r="D47" s="192">
        <v>762.85440000000006</v>
      </c>
      <c r="E47" s="192">
        <v>4.7678399999999996</v>
      </c>
      <c r="F47" s="192">
        <v>3.5758799999999997</v>
      </c>
      <c r="G47" s="192" t="s">
        <v>237</v>
      </c>
      <c r="H47" s="192">
        <v>378.4</v>
      </c>
      <c r="I47" s="194">
        <v>476.78399999999999</v>
      </c>
    </row>
    <row r="48" spans="1:9" x14ac:dyDescent="0.25">
      <c r="A48" s="192" t="s">
        <v>85</v>
      </c>
      <c r="B48" s="192" t="s">
        <v>86</v>
      </c>
      <c r="C48" s="192">
        <v>953.56799999999998</v>
      </c>
      <c r="D48" s="192">
        <v>715.17599999999993</v>
      </c>
      <c r="E48" s="192">
        <v>4.7678399999999996</v>
      </c>
      <c r="F48" s="192">
        <v>3.5758799999999997</v>
      </c>
      <c r="G48" s="192" t="s">
        <v>237</v>
      </c>
      <c r="H48" s="192">
        <v>378.4</v>
      </c>
      <c r="I48" s="194">
        <v>476.78399999999999</v>
      </c>
    </row>
  </sheetData>
  <phoneticPr fontId="63" type="noConversion"/>
  <pageMargins left="0.7" right="0.7" top="0.75" bottom="0.75" header="0.3" footer="0.3"/>
  <pageSetup scale="5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6"/>
  <sheetViews>
    <sheetView zoomScaleNormal="100" workbookViewId="0">
      <selection activeCell="B3" sqref="B3"/>
    </sheetView>
  </sheetViews>
  <sheetFormatPr defaultRowHeight="15.75" x14ac:dyDescent="0.25"/>
  <cols>
    <col min="1" max="1" width="36.875" bestFit="1" customWidth="1"/>
    <col min="2" max="2" width="16.625" customWidth="1"/>
    <col min="3" max="3" width="26" bestFit="1" customWidth="1"/>
    <col min="4" max="4" width="23.625" bestFit="1" customWidth="1"/>
    <col min="5" max="5" width="8.875" customWidth="1"/>
  </cols>
  <sheetData>
    <row r="1" spans="1:5" x14ac:dyDescent="0.25">
      <c r="A1" s="202" t="s">
        <v>101</v>
      </c>
      <c r="B1" s="203"/>
      <c r="C1" s="204"/>
      <c r="D1" s="204"/>
      <c r="E1" s="205"/>
    </row>
    <row r="2" spans="1:5" x14ac:dyDescent="0.25">
      <c r="A2" s="213"/>
      <c r="B2" s="214"/>
      <c r="C2" s="215"/>
      <c r="D2" s="215"/>
      <c r="E2" s="216"/>
    </row>
    <row r="3" spans="1:5" x14ac:dyDescent="0.25">
      <c r="A3" s="382" t="s">
        <v>313</v>
      </c>
      <c r="B3" s="379">
        <f>'strip calc for opening size'!C4</f>
        <v>0</v>
      </c>
      <c r="C3" s="389"/>
      <c r="D3" s="389"/>
      <c r="E3" s="383"/>
    </row>
    <row r="4" spans="1:5" x14ac:dyDescent="0.25">
      <c r="A4" s="383" t="s">
        <v>314</v>
      </c>
      <c r="B4" s="390">
        <f>'strip calc for opening size'!C5</f>
        <v>0</v>
      </c>
      <c r="C4" s="383"/>
      <c r="D4" s="383" t="e">
        <f>VLOOKUP(B4,AG3:AH5,2,TRUE)</f>
        <v>#N/A</v>
      </c>
      <c r="E4" s="383"/>
    </row>
    <row r="5" spans="1:5" x14ac:dyDescent="0.25">
      <c r="A5" s="383" t="s">
        <v>108</v>
      </c>
      <c r="B5" s="413">
        <f>'strip calc for opening size'!C6</f>
        <v>0</v>
      </c>
      <c r="C5" s="383" t="s">
        <v>292</v>
      </c>
      <c r="D5" s="414">
        <f>B5/12</f>
        <v>0</v>
      </c>
      <c r="E5" s="383" t="s">
        <v>109</v>
      </c>
    </row>
    <row r="6" spans="1:5" x14ac:dyDescent="0.25">
      <c r="A6" s="383" t="s">
        <v>114</v>
      </c>
      <c r="B6" s="413">
        <f>'strip calc for opening size'!C7</f>
        <v>0</v>
      </c>
      <c r="C6" s="383">
        <v>12</v>
      </c>
      <c r="D6" s="414">
        <f>B6/12</f>
        <v>0</v>
      </c>
      <c r="E6" s="383" t="s">
        <v>109</v>
      </c>
    </row>
    <row r="7" spans="1:5" x14ac:dyDescent="0.25">
      <c r="A7" s="383" t="s">
        <v>286</v>
      </c>
      <c r="B7" s="390">
        <f>'strip calc for opening size'!C8</f>
        <v>0</v>
      </c>
      <c r="C7" s="391"/>
      <c r="D7" s="391"/>
      <c r="E7" s="391"/>
    </row>
    <row r="8" spans="1:5" x14ac:dyDescent="0.25">
      <c r="A8" s="383" t="s">
        <v>131</v>
      </c>
      <c r="B8" s="390">
        <f>'strip calc for opening size'!C9</f>
        <v>0</v>
      </c>
      <c r="C8" s="383"/>
      <c r="D8" s="380" t="s">
        <v>276</v>
      </c>
      <c r="E8" s="383"/>
    </row>
    <row r="9" spans="1:5" x14ac:dyDescent="0.25">
      <c r="A9" s="383" t="s">
        <v>135</v>
      </c>
      <c r="B9" s="390">
        <f>'strip calc for opening size'!C10</f>
        <v>0</v>
      </c>
      <c r="C9" s="383"/>
      <c r="D9" s="392">
        <f>'strip calc for opening size'!E10</f>
        <v>0</v>
      </c>
      <c r="E9" s="383"/>
    </row>
    <row r="10" spans="1:5" x14ac:dyDescent="0.25">
      <c r="A10" s="383"/>
      <c r="B10" s="390"/>
      <c r="C10" s="383"/>
      <c r="D10" s="383"/>
      <c r="E10" s="383"/>
    </row>
    <row r="11" spans="1:5" x14ac:dyDescent="0.25">
      <c r="A11" s="383" t="s">
        <v>110</v>
      </c>
      <c r="B11" s="390">
        <f>'strip calc for opening size'!C12</f>
        <v>0</v>
      </c>
      <c r="C11" s="383"/>
      <c r="D11" s="383"/>
      <c r="E11" s="383"/>
    </row>
    <row r="12" spans="1:5" x14ac:dyDescent="0.25">
      <c r="A12" s="383" t="s">
        <v>116</v>
      </c>
      <c r="B12" s="390">
        <f>'strip calc for opening size'!C13</f>
        <v>0</v>
      </c>
      <c r="C12" s="383"/>
      <c r="D12" s="383"/>
      <c r="E12" s="383"/>
    </row>
    <row r="13" spans="1:5" x14ac:dyDescent="0.25">
      <c r="A13" s="383" t="s">
        <v>126</v>
      </c>
      <c r="B13" s="390">
        <f>'strip calc for opening size'!C14</f>
        <v>0</v>
      </c>
      <c r="C13" s="383"/>
      <c r="D13" s="383"/>
      <c r="E13" s="383"/>
    </row>
    <row r="14" spans="1:5" x14ac:dyDescent="0.25">
      <c r="A14" s="383"/>
      <c r="B14" s="383"/>
      <c r="C14" s="383"/>
      <c r="D14" s="383"/>
      <c r="E14" s="383"/>
    </row>
    <row r="15" spans="1:5" x14ac:dyDescent="0.25">
      <c r="A15" s="393"/>
      <c r="B15" s="394"/>
      <c r="C15" s="394"/>
      <c r="D15" s="394"/>
      <c r="E15" s="395"/>
    </row>
    <row r="16" spans="1:5" x14ac:dyDescent="0.25">
      <c r="A16" s="393"/>
      <c r="B16" s="396"/>
      <c r="C16" s="394"/>
      <c r="D16" s="394"/>
      <c r="E16" s="395"/>
    </row>
    <row r="17" spans="1:5" x14ac:dyDescent="0.25">
      <c r="A17" s="385" t="s">
        <v>140</v>
      </c>
      <c r="B17" s="415" t="e">
        <f>'strip calc for opening size'!C18</f>
        <v>#N/A</v>
      </c>
      <c r="C17" s="381" t="str">
        <f>'strip calc for opening size'!D18</f>
        <v>inches</v>
      </c>
      <c r="D17" s="415" t="e">
        <f>'strip calc for opening size'!E18</f>
        <v>#N/A</v>
      </c>
      <c r="E17" s="383" t="s">
        <v>109</v>
      </c>
    </row>
    <row r="18" spans="1:5" x14ac:dyDescent="0.25">
      <c r="A18" s="385" t="s">
        <v>283</v>
      </c>
      <c r="B18" s="415" t="e">
        <f>'strip calc for opening size'!C19</f>
        <v>#N/A</v>
      </c>
      <c r="C18" s="381" t="str">
        <f>'strip calc for opening size'!D19</f>
        <v>inches</v>
      </c>
      <c r="D18" s="415" t="e">
        <f>'strip calc for opening size'!E19</f>
        <v>#N/A</v>
      </c>
      <c r="E18" s="383" t="s">
        <v>109</v>
      </c>
    </row>
    <row r="19" spans="1:5" x14ac:dyDescent="0.25">
      <c r="A19" s="383" t="s">
        <v>146</v>
      </c>
      <c r="B19" s="415" t="e">
        <f>'strip calc for opening size'!C20</f>
        <v>#N/A</v>
      </c>
      <c r="C19" s="383" t="s">
        <v>147</v>
      </c>
      <c r="D19" s="383"/>
      <c r="E19" s="383"/>
    </row>
    <row r="20" spans="1:5" x14ac:dyDescent="0.25">
      <c r="A20" s="380" t="s">
        <v>284</v>
      </c>
      <c r="B20" s="381" t="e">
        <f>'strip calc for opening size'!C21</f>
        <v>#N/A</v>
      </c>
      <c r="C20" s="380" t="s">
        <v>151</v>
      </c>
      <c r="D20" s="383"/>
      <c r="E20" s="383"/>
    </row>
    <row r="21" spans="1:5" x14ac:dyDescent="0.25">
      <c r="A21" s="380" t="s">
        <v>282</v>
      </c>
      <c r="B21" s="381" t="e">
        <f>'strip calc for opening size'!C22</f>
        <v>#N/A</v>
      </c>
      <c r="C21" s="380" t="s">
        <v>151</v>
      </c>
      <c r="D21" s="383"/>
      <c r="E21" s="383"/>
    </row>
    <row r="22" spans="1:5" x14ac:dyDescent="0.25">
      <c r="A22" s="380" t="s">
        <v>285</v>
      </c>
      <c r="B22" s="415" t="e">
        <f>'strip calc for opening size'!C23</f>
        <v>#N/A</v>
      </c>
      <c r="C22" s="381" t="str">
        <f>'strip calc for opening size'!D23</f>
        <v>inches</v>
      </c>
      <c r="D22" s="415" t="e">
        <f>'strip calc for opening size'!E23</f>
        <v>#N/A</v>
      </c>
      <c r="E22" s="383" t="s">
        <v>109</v>
      </c>
    </row>
    <row r="23" spans="1:5" x14ac:dyDescent="0.25">
      <c r="A23" s="380" t="s">
        <v>281</v>
      </c>
      <c r="B23" s="415" t="e">
        <f>'strip calc for opening size'!C24</f>
        <v>#N/A</v>
      </c>
      <c r="C23" s="381" t="str">
        <f>'strip calc for opening size'!D24</f>
        <v>inches</v>
      </c>
      <c r="D23" s="415" t="e">
        <f>'strip calc for opening size'!E24</f>
        <v>#N/A</v>
      </c>
      <c r="E23" s="383" t="s">
        <v>109</v>
      </c>
    </row>
    <row r="24" spans="1:5" x14ac:dyDescent="0.25">
      <c r="A24" s="393"/>
      <c r="B24" s="264">
        <f>IF(H98=H99,H101,"")</f>
        <v>0</v>
      </c>
      <c r="C24" s="326"/>
      <c r="D24" s="394"/>
      <c r="E24" s="397"/>
    </row>
    <row r="25" spans="1:5" x14ac:dyDescent="0.25">
      <c r="A25" s="393" t="s">
        <v>181</v>
      </c>
      <c r="B25" s="416" t="e">
        <f>'strip calc for opening size'!C26</f>
        <v>#N/A</v>
      </c>
      <c r="C25" s="394" t="s">
        <v>182</v>
      </c>
      <c r="D25" s="394"/>
      <c r="E25" s="397"/>
    </row>
    <row r="26" spans="1:5" x14ac:dyDescent="0.25">
      <c r="A26" s="393" t="s">
        <v>184</v>
      </c>
      <c r="B26" s="416" t="e">
        <f>'strip calc for opening size'!C27</f>
        <v>#N/A</v>
      </c>
      <c r="C26" s="394" t="s">
        <v>182</v>
      </c>
      <c r="D26" s="394"/>
      <c r="E26" s="397"/>
    </row>
    <row r="27" spans="1:5" x14ac:dyDescent="0.25">
      <c r="A27" s="393" t="s">
        <v>293</v>
      </c>
      <c r="B27" s="416">
        <f>'strip calc for opening size'!C28</f>
        <v>0</v>
      </c>
      <c r="C27" s="394" t="s">
        <v>182</v>
      </c>
      <c r="D27" s="394"/>
      <c r="E27" s="397"/>
    </row>
    <row r="28" spans="1:5" x14ac:dyDescent="0.25">
      <c r="A28" s="398" t="s">
        <v>309</v>
      </c>
      <c r="B28" s="416" t="e">
        <f>'strip calc for opening size'!C29</f>
        <v>#N/A</v>
      </c>
      <c r="C28" s="264" t="s">
        <v>182</v>
      </c>
      <c r="D28" s="394"/>
      <c r="E28" s="397"/>
    </row>
    <row r="29" spans="1:5" x14ac:dyDescent="0.25">
      <c r="A29" s="398" t="s">
        <v>186</v>
      </c>
      <c r="B29" s="416" t="e">
        <f>'strip calc for opening size'!C30</f>
        <v>#N/A</v>
      </c>
      <c r="C29" s="264" t="s">
        <v>182</v>
      </c>
      <c r="D29" s="394"/>
      <c r="E29" s="397"/>
    </row>
    <row r="30" spans="1:5" x14ac:dyDescent="0.25">
      <c r="A30" s="386"/>
      <c r="B30" s="387"/>
      <c r="C30" s="387"/>
      <c r="D30" s="387"/>
      <c r="E30" s="310"/>
    </row>
    <row r="31" spans="1:5" ht="16.5" thickBot="1" x14ac:dyDescent="0.3">
      <c r="A31" s="384"/>
      <c r="B31" s="373"/>
      <c r="C31" s="388"/>
      <c r="D31" s="388"/>
      <c r="E31" s="349"/>
    </row>
    <row r="32" spans="1:5" ht="21" thickBot="1" x14ac:dyDescent="0.35">
      <c r="A32" s="405"/>
      <c r="B32" s="406">
        <f>'strip calc for opening size'!C33</f>
        <v>0</v>
      </c>
      <c r="C32" s="352" t="s">
        <v>229</v>
      </c>
      <c r="D32" s="352" t="s">
        <v>230</v>
      </c>
      <c r="E32" s="349"/>
    </row>
    <row r="33" spans="1:5" ht="20.25" x14ac:dyDescent="0.3">
      <c r="A33" s="407"/>
      <c r="B33" s="408">
        <f>'strip calc for opening size'!C34</f>
        <v>0</v>
      </c>
      <c r="C33" s="402" t="e">
        <f>'strip calc for opening size'!D34</f>
        <v>#N/A</v>
      </c>
      <c r="D33" s="399" t="e">
        <f>'strip calc for opening size'!E34</f>
        <v>#N/A</v>
      </c>
      <c r="E33" s="349"/>
    </row>
    <row r="34" spans="1:5" ht="20.25" x14ac:dyDescent="0.3">
      <c r="A34" s="407" t="s">
        <v>152</v>
      </c>
      <c r="B34" s="408" t="e">
        <f>'strip calc for opening size'!C35</f>
        <v>#N/A</v>
      </c>
      <c r="C34" s="403" t="str">
        <f>'strip calc for opening size'!D35</f>
        <v>Mounting/C.Brackets</v>
      </c>
      <c r="D34" s="400">
        <f>'strip calc for opening size'!E35</f>
        <v>0</v>
      </c>
      <c r="E34" s="359"/>
    </row>
    <row r="35" spans="1:5" ht="20.25" x14ac:dyDescent="0.3">
      <c r="A35" s="409" t="s">
        <v>156</v>
      </c>
      <c r="B35" s="408" t="e">
        <f>'strip calc for opening size'!C36</f>
        <v>#N/A</v>
      </c>
      <c r="C35" s="403" t="str">
        <f>'strip calc for opening size'!D36</f>
        <v>Price/Curtain</v>
      </c>
      <c r="D35" s="400" t="e">
        <f>'strip calc for opening size'!E36</f>
        <v>#N/A</v>
      </c>
      <c r="E35" s="359"/>
    </row>
    <row r="36" spans="1:5" ht="21" thickBot="1" x14ac:dyDescent="0.35">
      <c r="A36" s="410"/>
      <c r="B36" s="411"/>
      <c r="C36" s="404" t="str">
        <f>'strip calc for opening size'!D37</f>
        <v>Sub Total</v>
      </c>
      <c r="D36" s="401" t="e">
        <f>'strip calc for opening size'!E37</f>
        <v>#N/A</v>
      </c>
      <c r="E36" s="363"/>
    </row>
  </sheetData>
  <protectedRanges>
    <protectedRange sqref="C33:D36" name="Range2"/>
  </protectedRanges>
  <phoneticPr fontId="63" type="noConversion"/>
  <pageMargins left="0.7" right="0.7" top="0.75" bottom="0.75" header="0.3" footer="0.3"/>
  <pageSetup scale="7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Full Roll</vt:lpstr>
      <vt:lpstr>strip calc for opening size</vt:lpstr>
      <vt:lpstr>Rollinfo</vt:lpstr>
      <vt:lpstr>DoNotUse SqFt (2)</vt:lpstr>
      <vt:lpstr>Sheet1</vt:lpstr>
      <vt:lpstr>Printable</vt:lpstr>
      <vt:lpstr>'DoNotUse SqFt (2)'!Print_Area</vt:lpstr>
      <vt:lpstr>'Full Roll'!Print_Area</vt:lpstr>
      <vt:lpstr>'strip calc for opening size'!Print_Area</vt:lpstr>
    </vt:vector>
  </TitlesOfParts>
  <Company>shaver industries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bpenner</dc:creator>
  <cp:lastModifiedBy>User</cp:lastModifiedBy>
  <cp:lastPrinted>2016-07-20T14:15:51Z</cp:lastPrinted>
  <dcterms:created xsi:type="dcterms:W3CDTF">2015-03-19T15:43:18Z</dcterms:created>
  <dcterms:modified xsi:type="dcterms:W3CDTF">2016-12-14T17:11:31Z</dcterms:modified>
</cp:coreProperties>
</file>